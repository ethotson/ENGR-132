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than Hotson\Desktop\ENGR-132\PS04\"/>
    </mc:Choice>
  </mc:AlternateContent>
  <xr:revisionPtr revIDLastSave="0" documentId="13_ncr:1_{9EDC1E1B-AAA7-4EFB-857B-66650F3781F4}" xr6:coauthVersionLast="36" xr6:coauthVersionMax="36" xr10:uidLastSave="{00000000-0000-0000-0000-000000000000}"/>
  <bookViews>
    <workbookView xWindow="0" yWindow="0" windowWidth="19200" windowHeight="7488" activeTab="1" xr2:uid="{00000000-000D-0000-FFFF-FFFF00000000}"/>
  </bookViews>
  <sheets>
    <sheet name="Two Point" sheetId="1" r:id="rId1"/>
    <sheet name="Least Squares" sheetId="2" r:id="rId2"/>
    <sheet name="Analysi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23" i="2" l="1"/>
  <c r="P19" i="2"/>
  <c r="P21" i="2"/>
  <c r="N15" i="2"/>
  <c r="M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5" i="2"/>
  <c r="K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5" i="2"/>
  <c r="H15" i="2"/>
  <c r="G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5" i="2"/>
  <c r="F112" i="2" s="1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6" i="2"/>
  <c r="E15" i="2"/>
  <c r="E112" i="2" s="1"/>
  <c r="O18" i="1"/>
  <c r="O16" i="1"/>
  <c r="O14" i="1"/>
  <c r="K17" i="1"/>
  <c r="K19" i="1"/>
  <c r="K29" i="1"/>
  <c r="K31" i="1"/>
  <c r="K37" i="1"/>
  <c r="K41" i="1"/>
  <c r="K43" i="1"/>
  <c r="K53" i="1"/>
  <c r="K55" i="1"/>
  <c r="K65" i="1"/>
  <c r="K67" i="1"/>
  <c r="K77" i="1"/>
  <c r="K79" i="1"/>
  <c r="K89" i="1"/>
  <c r="K91" i="1"/>
  <c r="K101" i="1"/>
  <c r="K103" i="1"/>
  <c r="H26" i="1"/>
  <c r="I26" i="1" s="1"/>
  <c r="H27" i="1"/>
  <c r="I27" i="1" s="1"/>
  <c r="H62" i="1"/>
  <c r="I62" i="1" s="1"/>
  <c r="H87" i="1"/>
  <c r="I87" i="1" s="1"/>
  <c r="H99" i="1"/>
  <c r="I99" i="1" s="1"/>
  <c r="H110" i="1"/>
  <c r="I110" i="1" s="1"/>
  <c r="E30" i="1"/>
  <c r="H74" i="1" s="1"/>
  <c r="I74" i="1" s="1"/>
  <c r="G16" i="1"/>
  <c r="G17" i="1"/>
  <c r="G18" i="1"/>
  <c r="H18" i="1" s="1"/>
  <c r="I18" i="1" s="1"/>
  <c r="G19" i="1"/>
  <c r="G20" i="1"/>
  <c r="K20" i="1" s="1"/>
  <c r="G21" i="1"/>
  <c r="K21" i="1" s="1"/>
  <c r="G22" i="1"/>
  <c r="H22" i="1" s="1"/>
  <c r="I22" i="1" s="1"/>
  <c r="G23" i="1"/>
  <c r="K23" i="1" s="1"/>
  <c r="G24" i="1"/>
  <c r="H24" i="1" s="1"/>
  <c r="I24" i="1" s="1"/>
  <c r="G25" i="1"/>
  <c r="H25" i="1" s="1"/>
  <c r="I25" i="1" s="1"/>
  <c r="G26" i="1"/>
  <c r="K26" i="1" s="1"/>
  <c r="G27" i="1"/>
  <c r="K27" i="1" s="1"/>
  <c r="G28" i="1"/>
  <c r="G29" i="1"/>
  <c r="G30" i="1"/>
  <c r="H30" i="1" s="1"/>
  <c r="I30" i="1" s="1"/>
  <c r="G31" i="1"/>
  <c r="G32" i="1"/>
  <c r="K32" i="1" s="1"/>
  <c r="G33" i="1"/>
  <c r="K33" i="1" s="1"/>
  <c r="G34" i="1"/>
  <c r="H34" i="1" s="1"/>
  <c r="I34" i="1" s="1"/>
  <c r="G35" i="1"/>
  <c r="K35" i="1" s="1"/>
  <c r="G36" i="1"/>
  <c r="H36" i="1" s="1"/>
  <c r="I36" i="1" s="1"/>
  <c r="G37" i="1"/>
  <c r="H37" i="1" s="1"/>
  <c r="I37" i="1" s="1"/>
  <c r="G38" i="1"/>
  <c r="K38" i="1" s="1"/>
  <c r="G39" i="1"/>
  <c r="K39" i="1" s="1"/>
  <c r="G40" i="1"/>
  <c r="G41" i="1"/>
  <c r="G42" i="1"/>
  <c r="H42" i="1" s="1"/>
  <c r="I42" i="1" s="1"/>
  <c r="G43" i="1"/>
  <c r="G44" i="1"/>
  <c r="K44" i="1" s="1"/>
  <c r="G45" i="1"/>
  <c r="K45" i="1" s="1"/>
  <c r="G46" i="1"/>
  <c r="H46" i="1" s="1"/>
  <c r="I46" i="1" s="1"/>
  <c r="G47" i="1"/>
  <c r="K47" i="1" s="1"/>
  <c r="G48" i="1"/>
  <c r="H48" i="1" s="1"/>
  <c r="I48" i="1" s="1"/>
  <c r="G49" i="1"/>
  <c r="H49" i="1" s="1"/>
  <c r="I49" i="1" s="1"/>
  <c r="G50" i="1"/>
  <c r="K50" i="1" s="1"/>
  <c r="G51" i="1"/>
  <c r="K51" i="1" s="1"/>
  <c r="G52" i="1"/>
  <c r="G53" i="1"/>
  <c r="G54" i="1"/>
  <c r="H54" i="1" s="1"/>
  <c r="I54" i="1" s="1"/>
  <c r="G55" i="1"/>
  <c r="G56" i="1"/>
  <c r="K56" i="1" s="1"/>
  <c r="G57" i="1"/>
  <c r="H57" i="1" s="1"/>
  <c r="I57" i="1" s="1"/>
  <c r="G58" i="1"/>
  <c r="H58" i="1" s="1"/>
  <c r="I58" i="1" s="1"/>
  <c r="G59" i="1"/>
  <c r="K59" i="1" s="1"/>
  <c r="G60" i="1"/>
  <c r="H60" i="1" s="1"/>
  <c r="I60" i="1" s="1"/>
  <c r="G61" i="1"/>
  <c r="H61" i="1" s="1"/>
  <c r="I61" i="1" s="1"/>
  <c r="G62" i="1"/>
  <c r="K62" i="1" s="1"/>
  <c r="G63" i="1"/>
  <c r="H63" i="1" s="1"/>
  <c r="I63" i="1" s="1"/>
  <c r="G64" i="1"/>
  <c r="G65" i="1"/>
  <c r="G66" i="1"/>
  <c r="H66" i="1" s="1"/>
  <c r="I66" i="1" s="1"/>
  <c r="G67" i="1"/>
  <c r="G68" i="1"/>
  <c r="H68" i="1" s="1"/>
  <c r="I68" i="1" s="1"/>
  <c r="G69" i="1"/>
  <c r="H69" i="1" s="1"/>
  <c r="I69" i="1" s="1"/>
  <c r="G70" i="1"/>
  <c r="H70" i="1" s="1"/>
  <c r="I70" i="1" s="1"/>
  <c r="G71" i="1"/>
  <c r="K71" i="1" s="1"/>
  <c r="G72" i="1"/>
  <c r="H72" i="1" s="1"/>
  <c r="I72" i="1" s="1"/>
  <c r="G73" i="1"/>
  <c r="H73" i="1" s="1"/>
  <c r="I73" i="1" s="1"/>
  <c r="G74" i="1"/>
  <c r="K74" i="1" s="1"/>
  <c r="G75" i="1"/>
  <c r="G76" i="1"/>
  <c r="G77" i="1"/>
  <c r="G78" i="1"/>
  <c r="H78" i="1" s="1"/>
  <c r="I78" i="1" s="1"/>
  <c r="G79" i="1"/>
  <c r="G80" i="1"/>
  <c r="H80" i="1" s="1"/>
  <c r="I80" i="1" s="1"/>
  <c r="G81" i="1"/>
  <c r="H81" i="1" s="1"/>
  <c r="I81" i="1" s="1"/>
  <c r="G82" i="1"/>
  <c r="H82" i="1" s="1"/>
  <c r="I82" i="1" s="1"/>
  <c r="G83" i="1"/>
  <c r="K83" i="1" s="1"/>
  <c r="G84" i="1"/>
  <c r="H84" i="1" s="1"/>
  <c r="I84" i="1" s="1"/>
  <c r="G85" i="1"/>
  <c r="H85" i="1" s="1"/>
  <c r="I85" i="1" s="1"/>
  <c r="G86" i="1"/>
  <c r="K86" i="1" s="1"/>
  <c r="G87" i="1"/>
  <c r="K87" i="1" s="1"/>
  <c r="G88" i="1"/>
  <c r="G89" i="1"/>
  <c r="G90" i="1"/>
  <c r="H90" i="1" s="1"/>
  <c r="I90" i="1" s="1"/>
  <c r="G91" i="1"/>
  <c r="G92" i="1"/>
  <c r="H92" i="1" s="1"/>
  <c r="I92" i="1" s="1"/>
  <c r="G93" i="1"/>
  <c r="H93" i="1" s="1"/>
  <c r="I93" i="1" s="1"/>
  <c r="G94" i="1"/>
  <c r="H94" i="1" s="1"/>
  <c r="I94" i="1" s="1"/>
  <c r="G95" i="1"/>
  <c r="K95" i="1" s="1"/>
  <c r="G96" i="1"/>
  <c r="H96" i="1" s="1"/>
  <c r="I96" i="1" s="1"/>
  <c r="G97" i="1"/>
  <c r="H97" i="1" s="1"/>
  <c r="I97" i="1" s="1"/>
  <c r="G98" i="1"/>
  <c r="K98" i="1" s="1"/>
  <c r="G99" i="1"/>
  <c r="K99" i="1" s="1"/>
  <c r="G100" i="1"/>
  <c r="G101" i="1"/>
  <c r="G102" i="1"/>
  <c r="H102" i="1" s="1"/>
  <c r="I102" i="1" s="1"/>
  <c r="G103" i="1"/>
  <c r="G104" i="1"/>
  <c r="H104" i="1" s="1"/>
  <c r="I104" i="1" s="1"/>
  <c r="G105" i="1"/>
  <c r="H105" i="1" s="1"/>
  <c r="I105" i="1" s="1"/>
  <c r="G106" i="1"/>
  <c r="H106" i="1" s="1"/>
  <c r="I106" i="1" s="1"/>
  <c r="G107" i="1"/>
  <c r="K107" i="1" s="1"/>
  <c r="G108" i="1"/>
  <c r="H108" i="1" s="1"/>
  <c r="I108" i="1" s="1"/>
  <c r="G109" i="1"/>
  <c r="H109" i="1" s="1"/>
  <c r="I109" i="1" s="1"/>
  <c r="G110" i="1"/>
  <c r="K110" i="1" s="1"/>
  <c r="G111" i="1"/>
  <c r="K111" i="1" s="1"/>
  <c r="G15" i="1"/>
  <c r="P14" i="2" l="1"/>
  <c r="P15" i="2" s="1"/>
  <c r="K109" i="1"/>
  <c r="K97" i="1"/>
  <c r="K85" i="1"/>
  <c r="K61" i="1"/>
  <c r="K25" i="1"/>
  <c r="H101" i="1"/>
  <c r="I101" i="1" s="1"/>
  <c r="H89" i="1"/>
  <c r="I89" i="1" s="1"/>
  <c r="H77" i="1"/>
  <c r="I77" i="1" s="1"/>
  <c r="H65" i="1"/>
  <c r="I65" i="1" s="1"/>
  <c r="H53" i="1"/>
  <c r="I53" i="1" s="1"/>
  <c r="H41" i="1"/>
  <c r="I41" i="1" s="1"/>
  <c r="H29" i="1"/>
  <c r="I29" i="1" s="1"/>
  <c r="H17" i="1"/>
  <c r="I17" i="1" s="1"/>
  <c r="H51" i="1"/>
  <c r="I51" i="1" s="1"/>
  <c r="K108" i="1"/>
  <c r="K96" i="1"/>
  <c r="K84" i="1"/>
  <c r="K72" i="1"/>
  <c r="K60" i="1"/>
  <c r="K48" i="1"/>
  <c r="K36" i="1"/>
  <c r="K24" i="1"/>
  <c r="H15" i="1"/>
  <c r="I15" i="1" s="1"/>
  <c r="H100" i="1"/>
  <c r="I100" i="1" s="1"/>
  <c r="H88" i="1"/>
  <c r="I88" i="1" s="1"/>
  <c r="H76" i="1"/>
  <c r="I76" i="1" s="1"/>
  <c r="H64" i="1"/>
  <c r="I64" i="1" s="1"/>
  <c r="H52" i="1"/>
  <c r="I52" i="1" s="1"/>
  <c r="H40" i="1"/>
  <c r="I40" i="1" s="1"/>
  <c r="H28" i="1"/>
  <c r="I28" i="1" s="1"/>
  <c r="H16" i="1"/>
  <c r="I16" i="1" s="1"/>
  <c r="H50" i="1"/>
  <c r="I50" i="1" s="1"/>
  <c r="K73" i="1"/>
  <c r="H39" i="1"/>
  <c r="I39" i="1" s="1"/>
  <c r="K106" i="1"/>
  <c r="K94" i="1"/>
  <c r="K82" i="1"/>
  <c r="K70" i="1"/>
  <c r="K58" i="1"/>
  <c r="K46" i="1"/>
  <c r="K34" i="1"/>
  <c r="K22" i="1"/>
  <c r="K49" i="1"/>
  <c r="H75" i="1"/>
  <c r="I75" i="1" s="1"/>
  <c r="H111" i="1"/>
  <c r="I111" i="1" s="1"/>
  <c r="H38" i="1"/>
  <c r="I38" i="1" s="1"/>
  <c r="K105" i="1"/>
  <c r="K93" i="1"/>
  <c r="K81" i="1"/>
  <c r="K69" i="1"/>
  <c r="K57" i="1"/>
  <c r="K104" i="1"/>
  <c r="K92" i="1"/>
  <c r="K80" i="1"/>
  <c r="K68" i="1"/>
  <c r="H107" i="1"/>
  <c r="I107" i="1" s="1"/>
  <c r="H95" i="1"/>
  <c r="I95" i="1" s="1"/>
  <c r="H83" i="1"/>
  <c r="I83" i="1" s="1"/>
  <c r="H71" i="1"/>
  <c r="I71" i="1" s="1"/>
  <c r="H59" i="1"/>
  <c r="I59" i="1" s="1"/>
  <c r="H47" i="1"/>
  <c r="I47" i="1" s="1"/>
  <c r="H35" i="1"/>
  <c r="I35" i="1" s="1"/>
  <c r="H23" i="1"/>
  <c r="I23" i="1" s="1"/>
  <c r="H98" i="1"/>
  <c r="I98" i="1" s="1"/>
  <c r="K102" i="1"/>
  <c r="K90" i="1"/>
  <c r="K78" i="1"/>
  <c r="K66" i="1"/>
  <c r="K54" i="1"/>
  <c r="K42" i="1"/>
  <c r="K30" i="1"/>
  <c r="K18" i="1"/>
  <c r="H45" i="1"/>
  <c r="I45" i="1" s="1"/>
  <c r="H33" i="1"/>
  <c r="I33" i="1" s="1"/>
  <c r="H21" i="1"/>
  <c r="I21" i="1" s="1"/>
  <c r="H86" i="1"/>
  <c r="I86" i="1" s="1"/>
  <c r="K15" i="1"/>
  <c r="K100" i="1"/>
  <c r="K88" i="1"/>
  <c r="K76" i="1"/>
  <c r="K64" i="1"/>
  <c r="K52" i="1"/>
  <c r="K40" i="1"/>
  <c r="K28" i="1"/>
  <c r="K16" i="1"/>
  <c r="H56" i="1"/>
  <c r="I56" i="1" s="1"/>
  <c r="H32" i="1"/>
  <c r="I32" i="1" s="1"/>
  <c r="H20" i="1"/>
  <c r="I20" i="1" s="1"/>
  <c r="K75" i="1"/>
  <c r="K63" i="1"/>
  <c r="H44" i="1"/>
  <c r="I44" i="1" s="1"/>
  <c r="H103" i="1"/>
  <c r="I103" i="1" s="1"/>
  <c r="H91" i="1"/>
  <c r="I91" i="1" s="1"/>
  <c r="H79" i="1"/>
  <c r="I79" i="1" s="1"/>
  <c r="H67" i="1"/>
  <c r="I67" i="1" s="1"/>
  <c r="H55" i="1"/>
  <c r="I55" i="1" s="1"/>
  <c r="H43" i="1"/>
  <c r="I43" i="1" s="1"/>
  <c r="H31" i="1"/>
  <c r="I31" i="1" s="1"/>
  <c r="H19" i="1"/>
  <c r="I19" i="1" s="1"/>
  <c r="J15" i="1" l="1"/>
  <c r="L15" i="1"/>
  <c r="M15" i="1" l="1"/>
</calcChain>
</file>

<file path=xl/sharedStrings.xml><?xml version="1.0" encoding="utf-8"?>
<sst xmlns="http://schemas.openxmlformats.org/spreadsheetml/2006/main" count="113" uniqueCount="77">
  <si>
    <t>Output Section:</t>
  </si>
  <si>
    <t>Calculation Section:</t>
  </si>
  <si>
    <t>Input Section:</t>
  </si>
  <si>
    <t>Assignment</t>
  </si>
  <si>
    <t>Problem Description</t>
  </si>
  <si>
    <t xml:space="preserve">ENGR 132 </t>
  </si>
  <si>
    <t>SSE:</t>
  </si>
  <si>
    <t>SST:</t>
  </si>
  <si>
    <t>r^2:</t>
  </si>
  <si>
    <t>Equation:</t>
  </si>
  <si>
    <r>
      <rPr>
        <b/>
        <sz val="10"/>
        <rFont val="Arial"/>
        <family val="2"/>
      </rPr>
      <t>Q1</t>
    </r>
    <r>
      <rPr>
        <sz val="10"/>
        <rFont val="Arial"/>
      </rPr>
      <t>: Report your linear model. Use professional formatting</t>
    </r>
  </si>
  <si>
    <r>
      <rPr>
        <b/>
        <sz val="10"/>
        <rFont val="Arial"/>
        <family val="2"/>
      </rPr>
      <t>Q2</t>
    </r>
    <r>
      <rPr>
        <sz val="10"/>
        <rFont val="Arial"/>
        <family val="2"/>
      </rPr>
      <t>: Explain how well your model represents the relationship between the data. Justify your answer.</t>
    </r>
  </si>
  <si>
    <r>
      <rPr>
        <b/>
        <sz val="10"/>
        <rFont val="Arial"/>
        <family val="2"/>
      </rPr>
      <t>Q4</t>
    </r>
    <r>
      <rPr>
        <sz val="10"/>
        <rFont val="Arial"/>
        <family val="2"/>
      </rPr>
      <t>: What is the meaning of the slope of your model</t>
    </r>
  </si>
  <si>
    <r>
      <rPr>
        <b/>
        <sz val="10"/>
        <rFont val="Arial"/>
        <family val="2"/>
      </rPr>
      <t>Q5</t>
    </r>
    <r>
      <rPr>
        <sz val="10"/>
        <rFont val="Arial"/>
        <family val="2"/>
      </rPr>
      <t>: Report the manual least squares linear model (in form y = mx + b), SSE, SST, and r2 for the model</t>
    </r>
  </si>
  <si>
    <r>
      <rPr>
        <b/>
        <sz val="10"/>
        <rFont val="Arial"/>
        <family val="2"/>
      </rPr>
      <t>Q7</t>
    </r>
    <r>
      <rPr>
        <sz val="10"/>
        <rFont val="Arial"/>
        <family val="2"/>
      </rPr>
      <t>: Compare the two point method model to the least squares model. Which model provides the best fitting trend line? Justify your answer using 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.</t>
    </r>
  </si>
  <si>
    <t>Problem 1: Regression in Excel</t>
  </si>
  <si>
    <t>Your Name</t>
  </si>
  <si>
    <t>Name</t>
  </si>
  <si>
    <t>Purdue Login</t>
  </si>
  <si>
    <t>Your Purdue Login</t>
  </si>
  <si>
    <t>Contributor 1</t>
  </si>
  <si>
    <t>Team-ID</t>
  </si>
  <si>
    <t>Contributor 2</t>
  </si>
  <si>
    <t>Contributor 3</t>
  </si>
  <si>
    <t>login</t>
  </si>
  <si>
    <t>###-##</t>
  </si>
  <si>
    <t>PS ##, Problem #</t>
  </si>
  <si>
    <r>
      <rPr>
        <b/>
        <sz val="10"/>
        <rFont val="Arial"/>
        <family val="2"/>
      </rPr>
      <t xml:space="preserve">Q3: </t>
    </r>
    <r>
      <rPr>
        <sz val="10"/>
        <rFont val="Arial"/>
        <family val="2"/>
      </rPr>
      <t>Use your model to predict the power output when the ambient air temperature is 20 degrees C.</t>
    </r>
  </si>
  <si>
    <t>20 deg C</t>
  </si>
  <si>
    <t>40 deg C</t>
  </si>
  <si>
    <r>
      <rPr>
        <b/>
        <sz val="10"/>
        <rFont val="Arial"/>
        <family val="2"/>
      </rPr>
      <t>Q6</t>
    </r>
    <r>
      <rPr>
        <sz val="10"/>
        <rFont val="Arial"/>
        <family val="2"/>
      </rPr>
      <t>: Use your manual least squares model to predict the power output when the ambient air temperature is 20 deg C and 40 deg C. Justify each prediction using your knowledge of the original data set and your linear model</t>
    </r>
  </si>
  <si>
    <t>I have not used material obtained from any other unauthorized source, either modified</t>
  </si>
  <si>
    <t>The solution I am submitting is my own original work.</t>
  </si>
  <si>
    <t xml:space="preserve">or unmodified.  Neither have I provided access to my work to another. </t>
  </si>
  <si>
    <t>Ethan Hotson</t>
  </si>
  <si>
    <t>ehotson</t>
  </si>
  <si>
    <t>009-01</t>
  </si>
  <si>
    <t>PS 04, Problem 1</t>
  </si>
  <si>
    <t>Ambient temperature (deg C)</t>
  </si>
  <si>
    <t>Net Hourly Electrial Output (MW)</t>
  </si>
  <si>
    <t>Using data collected on a gas turbine power plant, you must examine the relationship between ambient temperature and net hourly electrical output, using linear regression modelling.</t>
  </si>
  <si>
    <t>Points Used:</t>
  </si>
  <si>
    <t>SSE</t>
  </si>
  <si>
    <t>SST</t>
  </si>
  <si>
    <t>Best fit value</t>
  </si>
  <si>
    <t>Mean Diff.</t>
  </si>
  <si>
    <t>Mean NHEO (MW)</t>
  </si>
  <si>
    <t>Mean Diff^2</t>
  </si>
  <si>
    <t>SSR</t>
  </si>
  <si>
    <t>Data Reg Diff.^2</t>
  </si>
  <si>
    <t>R^2</t>
  </si>
  <si>
    <t>SSE=sum((Best fit y values - data mean)^2)=78364.414</t>
  </si>
  <si>
    <t>SST=SSE+sum((data y values - best fit y values)^2)=131061.02</t>
  </si>
  <si>
    <t>r^2=1-(sum((data y values - best fit y values)^2)/SST)=0.5979231</t>
  </si>
  <si>
    <t>My linear regression model fits the data moderately well, as its r^2 value is fairly high, implying there is at least some correlation between the theoretical results and actual data.</t>
  </si>
  <si>
    <t>y=-2.251559934x+477.0545287</t>
  </si>
  <si>
    <t>y=-2.251559934x-11.50547126+477.0545287</t>
  </si>
  <si>
    <t>y=-2.251559934(x+5.11)+477.0545287</t>
  </si>
  <si>
    <t>y=(420-488.56)/(35.56-5.11)(x+5.11)+477.0545287</t>
  </si>
  <si>
    <t>432.02333 MW</t>
  </si>
  <si>
    <t>The slope indicates that for every 1 degree Celcius the ambient temperature increases, the power output will decrease by 2.251559934 Megawatts.</t>
  </si>
  <si>
    <t>x^2</t>
  </si>
  <si>
    <t>xy</t>
  </si>
  <si>
    <t>a</t>
  </si>
  <si>
    <t>b</t>
  </si>
  <si>
    <t>mean x</t>
  </si>
  <si>
    <t>mean y</t>
  </si>
  <si>
    <t>ax+b=-0.0006937x+456.7146</t>
  </si>
  <si>
    <t>Reg. Val.</t>
  </si>
  <si>
    <t>Mean Diff.^2</t>
  </si>
  <si>
    <t>y=-0.0006937x+456.7146</t>
  </si>
  <si>
    <t>SSE=sum((Best fit y values - data mean)^2)=0.0027052</t>
  </si>
  <si>
    <t>SST=SSE+sum((data y values - best fit y values)^2)=28454.966</t>
  </si>
  <si>
    <t>456.700726. This makes sense because at 20 degrees there are datapoints both above and below 456 MW.</t>
  </si>
  <si>
    <t>456.686852. This makes sense because at 40 degrees there are datapoints close to 456 MW.</t>
  </si>
  <si>
    <t>r^2=1-(sum((data y values - best fit y values)^2)/SST)=9.50684*10^-8</t>
  </si>
  <si>
    <t>The two point model provided a far more accurate model, which an r^2 value of 0.5979231 and a much more visually related slope and intercept.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</si>
</sst>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rgb="FF000000"/>
      <name val="Courier New"/>
      <family val="3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0"/>
      <color rgb="FF00B050"/>
      <name val="Arial"/>
      <family val="2"/>
    </font>
    <font>
      <b/>
      <sz val="10"/>
      <color theme="0"/>
      <name val="Arial"/>
      <family val="2"/>
    </font>
    <font>
      <vertAlign val="superscript"/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0" fillId="8" borderId="0" applyNumberFormat="0" applyBorder="0" applyAlignment="0" applyProtection="0"/>
    <xf numFmtId="0" fontId="11" fillId="9" borderId="0" applyNumberFormat="0" applyBorder="0" applyAlignment="0" applyProtection="0"/>
  </cellStyleXfs>
  <cellXfs count="6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0" applyFont="1" applyBorder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Border="1" applyAlignment="1" applyProtection="1">
      <alignment wrapText="1"/>
      <protection locked="0"/>
    </xf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4" fillId="0" borderId="0" xfId="0" applyFont="1" applyBorder="1" applyProtection="1">
      <protection locked="0"/>
    </xf>
    <xf numFmtId="0" fontId="5" fillId="0" borderId="0" xfId="0" applyFont="1" applyBorder="1" applyProtection="1">
      <protection locked="0"/>
    </xf>
    <xf numFmtId="164" fontId="0" fillId="0" borderId="0" xfId="0" applyNumberFormat="1" applyBorder="1"/>
    <xf numFmtId="0" fontId="1" fillId="0" borderId="0" xfId="0" applyFont="1" applyAlignment="1">
      <alignment horizontal="right" vertical="center"/>
    </xf>
    <xf numFmtId="0" fontId="7" fillId="0" borderId="0" xfId="0" applyFont="1"/>
    <xf numFmtId="164" fontId="7" fillId="0" borderId="0" xfId="0" applyNumberFormat="1" applyFont="1"/>
    <xf numFmtId="0" fontId="7" fillId="0" borderId="0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" fillId="0" borderId="0" xfId="0" applyFont="1" applyFill="1" applyBorder="1" applyAlignment="1" applyProtection="1">
      <protection locked="0"/>
    </xf>
    <xf numFmtId="0" fontId="4" fillId="6" borderId="0" xfId="0" applyFont="1" applyFill="1" applyBorder="1" applyProtection="1">
      <protection locked="0"/>
    </xf>
    <xf numFmtId="0" fontId="0" fillId="6" borderId="0" xfId="0" applyFill="1" applyBorder="1" applyProtection="1">
      <protection locked="0"/>
    </xf>
    <xf numFmtId="0" fontId="1" fillId="7" borderId="0" xfId="0" applyFont="1" applyFill="1" applyBorder="1" applyAlignment="1">
      <alignment horizontal="left"/>
    </xf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/>
    <xf numFmtId="0" fontId="0" fillId="7" borderId="0" xfId="0" applyFill="1" applyBorder="1"/>
    <xf numFmtId="0" fontId="6" fillId="0" borderId="2" xfId="0" applyFont="1" applyFill="1" applyBorder="1" applyAlignment="1" applyProtection="1">
      <alignment horizontal="left"/>
      <protection locked="0"/>
    </xf>
    <xf numFmtId="0" fontId="6" fillId="0" borderId="0" xfId="0" applyFont="1" applyFill="1" applyBorder="1" applyAlignment="1" applyProtection="1">
      <alignment horizontal="left"/>
      <protection locked="0"/>
    </xf>
    <xf numFmtId="0" fontId="0" fillId="3" borderId="0" xfId="0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6" fillId="0" borderId="4" xfId="0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0" fontId="6" fillId="0" borderId="2" xfId="0" applyFont="1" applyFill="1" applyBorder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left"/>
      <protection locked="0"/>
    </xf>
    <xf numFmtId="0" fontId="2" fillId="2" borderId="2" xfId="0" applyFont="1" applyFill="1" applyBorder="1" applyAlignment="1" applyProtection="1">
      <alignment horizontal="left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left"/>
      <protection locked="0"/>
    </xf>
    <xf numFmtId="0" fontId="6" fillId="0" borderId="2" xfId="0" applyFont="1" applyFill="1" applyBorder="1" applyAlignment="1" applyProtection="1">
      <alignment horizontal="center"/>
      <protection locked="0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10" fillId="8" borderId="0" xfId="2" applyBorder="1" applyAlignment="1">
      <alignment horizontal="center" wrapText="1"/>
    </xf>
    <xf numFmtId="0" fontId="11" fillId="9" borderId="0" xfId="3" applyAlignment="1">
      <alignment horizontal="center"/>
    </xf>
    <xf numFmtId="0" fontId="2" fillId="0" borderId="0" xfId="1"/>
    <xf numFmtId="0" fontId="0" fillId="0" borderId="0" xfId="0" applyFill="1" applyBorder="1"/>
    <xf numFmtId="0" fontId="2" fillId="0" borderId="0" xfId="0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  <xf numFmtId="0" fontId="7" fillId="0" borderId="0" xfId="0" applyFont="1" applyAlignment="1">
      <alignment horizontal="center" vertical="center" wrapText="1"/>
    </xf>
  </cellXfs>
  <cellStyles count="4">
    <cellStyle name="Good" xfId="2" builtinId="26"/>
    <cellStyle name="Neutral" xfId="3" builtinId="2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'Two Point'!$B$14</c:f>
              <c:strCache>
                <c:ptCount val="1"/>
                <c:pt idx="0">
                  <c:v>Net Hourly Electrial Output (MW)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'Two Point'!$A$15:$A$111</c:f>
              <c:numCache>
                <c:formatCode>General</c:formatCode>
                <c:ptCount val="97"/>
                <c:pt idx="0">
                  <c:v>14.96</c:v>
                </c:pt>
                <c:pt idx="1">
                  <c:v>25.18</c:v>
                </c:pt>
                <c:pt idx="2">
                  <c:v>5.1100000000000003</c:v>
                </c:pt>
                <c:pt idx="3">
                  <c:v>20.86</c:v>
                </c:pt>
                <c:pt idx="4">
                  <c:v>10.82</c:v>
                </c:pt>
                <c:pt idx="5">
                  <c:v>26.27</c:v>
                </c:pt>
                <c:pt idx="6">
                  <c:v>15.89</c:v>
                </c:pt>
                <c:pt idx="7">
                  <c:v>9.48</c:v>
                </c:pt>
                <c:pt idx="8">
                  <c:v>14.64</c:v>
                </c:pt>
                <c:pt idx="9">
                  <c:v>11.74</c:v>
                </c:pt>
                <c:pt idx="10">
                  <c:v>17.989999999999998</c:v>
                </c:pt>
                <c:pt idx="11">
                  <c:v>20.14</c:v>
                </c:pt>
                <c:pt idx="12">
                  <c:v>24.34</c:v>
                </c:pt>
                <c:pt idx="13">
                  <c:v>25.71</c:v>
                </c:pt>
                <c:pt idx="14">
                  <c:v>26.19</c:v>
                </c:pt>
                <c:pt idx="15">
                  <c:v>21.42</c:v>
                </c:pt>
                <c:pt idx="16">
                  <c:v>18.21</c:v>
                </c:pt>
                <c:pt idx="17">
                  <c:v>11.04</c:v>
                </c:pt>
                <c:pt idx="18">
                  <c:v>14.45</c:v>
                </c:pt>
                <c:pt idx="19">
                  <c:v>13.97</c:v>
                </c:pt>
                <c:pt idx="20">
                  <c:v>17.760000000000002</c:v>
                </c:pt>
                <c:pt idx="21">
                  <c:v>5.41</c:v>
                </c:pt>
                <c:pt idx="22">
                  <c:v>7.76</c:v>
                </c:pt>
                <c:pt idx="23">
                  <c:v>27.23</c:v>
                </c:pt>
                <c:pt idx="24">
                  <c:v>27.36</c:v>
                </c:pt>
                <c:pt idx="25">
                  <c:v>27.47</c:v>
                </c:pt>
                <c:pt idx="26">
                  <c:v>14.6</c:v>
                </c:pt>
                <c:pt idx="27">
                  <c:v>7.91</c:v>
                </c:pt>
                <c:pt idx="28">
                  <c:v>5.81</c:v>
                </c:pt>
                <c:pt idx="29">
                  <c:v>30.53</c:v>
                </c:pt>
                <c:pt idx="30">
                  <c:v>23.87</c:v>
                </c:pt>
                <c:pt idx="31">
                  <c:v>26.09</c:v>
                </c:pt>
                <c:pt idx="32">
                  <c:v>29.27</c:v>
                </c:pt>
                <c:pt idx="33">
                  <c:v>27.38</c:v>
                </c:pt>
                <c:pt idx="34">
                  <c:v>24.81</c:v>
                </c:pt>
                <c:pt idx="35">
                  <c:v>12.75</c:v>
                </c:pt>
                <c:pt idx="36">
                  <c:v>24.66</c:v>
                </c:pt>
                <c:pt idx="37">
                  <c:v>16.38</c:v>
                </c:pt>
                <c:pt idx="38">
                  <c:v>13.91</c:v>
                </c:pt>
                <c:pt idx="39">
                  <c:v>23.18</c:v>
                </c:pt>
                <c:pt idx="40">
                  <c:v>22.47</c:v>
                </c:pt>
                <c:pt idx="41">
                  <c:v>13.39</c:v>
                </c:pt>
                <c:pt idx="42">
                  <c:v>9.2799999999999994</c:v>
                </c:pt>
                <c:pt idx="43">
                  <c:v>11.82</c:v>
                </c:pt>
                <c:pt idx="44">
                  <c:v>10.27</c:v>
                </c:pt>
                <c:pt idx="45">
                  <c:v>22.92</c:v>
                </c:pt>
                <c:pt idx="46">
                  <c:v>16</c:v>
                </c:pt>
                <c:pt idx="47">
                  <c:v>21.22</c:v>
                </c:pt>
                <c:pt idx="48">
                  <c:v>13.46</c:v>
                </c:pt>
                <c:pt idx="49">
                  <c:v>9.39</c:v>
                </c:pt>
                <c:pt idx="50">
                  <c:v>31.07</c:v>
                </c:pt>
                <c:pt idx="51">
                  <c:v>12.82</c:v>
                </c:pt>
                <c:pt idx="52">
                  <c:v>32.57</c:v>
                </c:pt>
                <c:pt idx="53">
                  <c:v>8.11</c:v>
                </c:pt>
                <c:pt idx="54">
                  <c:v>13.92</c:v>
                </c:pt>
                <c:pt idx="55">
                  <c:v>23.04</c:v>
                </c:pt>
                <c:pt idx="56">
                  <c:v>27.31</c:v>
                </c:pt>
                <c:pt idx="57">
                  <c:v>5.91</c:v>
                </c:pt>
                <c:pt idx="58">
                  <c:v>25.26</c:v>
                </c:pt>
                <c:pt idx="59">
                  <c:v>27.97</c:v>
                </c:pt>
                <c:pt idx="60">
                  <c:v>26.08</c:v>
                </c:pt>
                <c:pt idx="61">
                  <c:v>29.01</c:v>
                </c:pt>
                <c:pt idx="62">
                  <c:v>12.18</c:v>
                </c:pt>
                <c:pt idx="63">
                  <c:v>13.76</c:v>
                </c:pt>
                <c:pt idx="64">
                  <c:v>25.5</c:v>
                </c:pt>
                <c:pt idx="65">
                  <c:v>28.26</c:v>
                </c:pt>
                <c:pt idx="66">
                  <c:v>21.39</c:v>
                </c:pt>
                <c:pt idx="67">
                  <c:v>7.26</c:v>
                </c:pt>
                <c:pt idx="68">
                  <c:v>10.54</c:v>
                </c:pt>
                <c:pt idx="69">
                  <c:v>27.71</c:v>
                </c:pt>
                <c:pt idx="70">
                  <c:v>23.11</c:v>
                </c:pt>
                <c:pt idx="71">
                  <c:v>7.51</c:v>
                </c:pt>
                <c:pt idx="72">
                  <c:v>26.46</c:v>
                </c:pt>
                <c:pt idx="73">
                  <c:v>29.34</c:v>
                </c:pt>
                <c:pt idx="74">
                  <c:v>10.32</c:v>
                </c:pt>
                <c:pt idx="75">
                  <c:v>22.74</c:v>
                </c:pt>
                <c:pt idx="76">
                  <c:v>13.48</c:v>
                </c:pt>
                <c:pt idx="77">
                  <c:v>25.52</c:v>
                </c:pt>
                <c:pt idx="78">
                  <c:v>21.58</c:v>
                </c:pt>
                <c:pt idx="79">
                  <c:v>27.66</c:v>
                </c:pt>
                <c:pt idx="80">
                  <c:v>26.96</c:v>
                </c:pt>
                <c:pt idx="81">
                  <c:v>12.29</c:v>
                </c:pt>
                <c:pt idx="82">
                  <c:v>15.86</c:v>
                </c:pt>
                <c:pt idx="83">
                  <c:v>13.87</c:v>
                </c:pt>
                <c:pt idx="84">
                  <c:v>24.09</c:v>
                </c:pt>
                <c:pt idx="85">
                  <c:v>20.45</c:v>
                </c:pt>
                <c:pt idx="86">
                  <c:v>15.07</c:v>
                </c:pt>
                <c:pt idx="87">
                  <c:v>32.72</c:v>
                </c:pt>
                <c:pt idx="88">
                  <c:v>18.23</c:v>
                </c:pt>
                <c:pt idx="89">
                  <c:v>35.56</c:v>
                </c:pt>
                <c:pt idx="90">
                  <c:v>18.36</c:v>
                </c:pt>
                <c:pt idx="91">
                  <c:v>26.35</c:v>
                </c:pt>
                <c:pt idx="92">
                  <c:v>25.92</c:v>
                </c:pt>
                <c:pt idx="93">
                  <c:v>8.01</c:v>
                </c:pt>
                <c:pt idx="94">
                  <c:v>19.63</c:v>
                </c:pt>
                <c:pt idx="95">
                  <c:v>20.02</c:v>
                </c:pt>
                <c:pt idx="96">
                  <c:v>10.08</c:v>
                </c:pt>
              </c:numCache>
            </c:numRef>
          </c:xVal>
          <c:yVal>
            <c:numRef>
              <c:f>'Two Point'!$B$15:$B$111</c:f>
              <c:numCache>
                <c:formatCode>General</c:formatCode>
                <c:ptCount val="97"/>
                <c:pt idx="0">
                  <c:v>463.26</c:v>
                </c:pt>
                <c:pt idx="1">
                  <c:v>444.37</c:v>
                </c:pt>
                <c:pt idx="2">
                  <c:v>488.56</c:v>
                </c:pt>
                <c:pt idx="3">
                  <c:v>446.48</c:v>
                </c:pt>
                <c:pt idx="4">
                  <c:v>473.9</c:v>
                </c:pt>
                <c:pt idx="5">
                  <c:v>443.67</c:v>
                </c:pt>
                <c:pt idx="6">
                  <c:v>467.35</c:v>
                </c:pt>
                <c:pt idx="7">
                  <c:v>478.42</c:v>
                </c:pt>
                <c:pt idx="8">
                  <c:v>475.98</c:v>
                </c:pt>
                <c:pt idx="9">
                  <c:v>477.5</c:v>
                </c:pt>
                <c:pt idx="10">
                  <c:v>453.02</c:v>
                </c:pt>
                <c:pt idx="11">
                  <c:v>453.99</c:v>
                </c:pt>
                <c:pt idx="12">
                  <c:v>440.29</c:v>
                </c:pt>
                <c:pt idx="13">
                  <c:v>451.28</c:v>
                </c:pt>
                <c:pt idx="14">
                  <c:v>433.99</c:v>
                </c:pt>
                <c:pt idx="15">
                  <c:v>462.19</c:v>
                </c:pt>
                <c:pt idx="16">
                  <c:v>467.54</c:v>
                </c:pt>
                <c:pt idx="17">
                  <c:v>477.2</c:v>
                </c:pt>
                <c:pt idx="18">
                  <c:v>459.85</c:v>
                </c:pt>
                <c:pt idx="19">
                  <c:v>464.3</c:v>
                </c:pt>
                <c:pt idx="20">
                  <c:v>468.27</c:v>
                </c:pt>
                <c:pt idx="21">
                  <c:v>495.24</c:v>
                </c:pt>
                <c:pt idx="22">
                  <c:v>483.8</c:v>
                </c:pt>
                <c:pt idx="23">
                  <c:v>443.61</c:v>
                </c:pt>
                <c:pt idx="24">
                  <c:v>436.06</c:v>
                </c:pt>
                <c:pt idx="25">
                  <c:v>443.25</c:v>
                </c:pt>
                <c:pt idx="26">
                  <c:v>464.16</c:v>
                </c:pt>
                <c:pt idx="27">
                  <c:v>475.52</c:v>
                </c:pt>
                <c:pt idx="28">
                  <c:v>484.41</c:v>
                </c:pt>
                <c:pt idx="29">
                  <c:v>437.89</c:v>
                </c:pt>
                <c:pt idx="30">
                  <c:v>445.11</c:v>
                </c:pt>
                <c:pt idx="31">
                  <c:v>438.86</c:v>
                </c:pt>
                <c:pt idx="32">
                  <c:v>440.98</c:v>
                </c:pt>
                <c:pt idx="33">
                  <c:v>436.65</c:v>
                </c:pt>
                <c:pt idx="34">
                  <c:v>444.26</c:v>
                </c:pt>
                <c:pt idx="35">
                  <c:v>465.86</c:v>
                </c:pt>
                <c:pt idx="36">
                  <c:v>444.37</c:v>
                </c:pt>
                <c:pt idx="37">
                  <c:v>450.69</c:v>
                </c:pt>
                <c:pt idx="38">
                  <c:v>469.02</c:v>
                </c:pt>
                <c:pt idx="39">
                  <c:v>448.86</c:v>
                </c:pt>
                <c:pt idx="40">
                  <c:v>447.14</c:v>
                </c:pt>
                <c:pt idx="41">
                  <c:v>469.18</c:v>
                </c:pt>
                <c:pt idx="42">
                  <c:v>482.8</c:v>
                </c:pt>
                <c:pt idx="43">
                  <c:v>476.7</c:v>
                </c:pt>
                <c:pt idx="44">
                  <c:v>474.99</c:v>
                </c:pt>
                <c:pt idx="45">
                  <c:v>444.22</c:v>
                </c:pt>
                <c:pt idx="46">
                  <c:v>461.33</c:v>
                </c:pt>
                <c:pt idx="47">
                  <c:v>448.06</c:v>
                </c:pt>
                <c:pt idx="48">
                  <c:v>474.6</c:v>
                </c:pt>
                <c:pt idx="49">
                  <c:v>473.05</c:v>
                </c:pt>
                <c:pt idx="50">
                  <c:v>432.06</c:v>
                </c:pt>
                <c:pt idx="51">
                  <c:v>467.41</c:v>
                </c:pt>
                <c:pt idx="52">
                  <c:v>430.12</c:v>
                </c:pt>
                <c:pt idx="53">
                  <c:v>473.62</c:v>
                </c:pt>
                <c:pt idx="54">
                  <c:v>471.81</c:v>
                </c:pt>
                <c:pt idx="55">
                  <c:v>442.99</c:v>
                </c:pt>
                <c:pt idx="56">
                  <c:v>442.77</c:v>
                </c:pt>
                <c:pt idx="57">
                  <c:v>491.49</c:v>
                </c:pt>
                <c:pt idx="58">
                  <c:v>447.46</c:v>
                </c:pt>
                <c:pt idx="59">
                  <c:v>446.11</c:v>
                </c:pt>
                <c:pt idx="60">
                  <c:v>442.44</c:v>
                </c:pt>
                <c:pt idx="61">
                  <c:v>446.22</c:v>
                </c:pt>
                <c:pt idx="62">
                  <c:v>471.49</c:v>
                </c:pt>
                <c:pt idx="63">
                  <c:v>463.5</c:v>
                </c:pt>
                <c:pt idx="64">
                  <c:v>440.01</c:v>
                </c:pt>
                <c:pt idx="65">
                  <c:v>441.03</c:v>
                </c:pt>
                <c:pt idx="66">
                  <c:v>452.68</c:v>
                </c:pt>
                <c:pt idx="67">
                  <c:v>474.91</c:v>
                </c:pt>
                <c:pt idx="68">
                  <c:v>478.77</c:v>
                </c:pt>
                <c:pt idx="69">
                  <c:v>434.2</c:v>
                </c:pt>
                <c:pt idx="70">
                  <c:v>437.91</c:v>
                </c:pt>
                <c:pt idx="71">
                  <c:v>477.61</c:v>
                </c:pt>
                <c:pt idx="72">
                  <c:v>431.65</c:v>
                </c:pt>
                <c:pt idx="73">
                  <c:v>430.57</c:v>
                </c:pt>
                <c:pt idx="74">
                  <c:v>481.09</c:v>
                </c:pt>
                <c:pt idx="75">
                  <c:v>445.56</c:v>
                </c:pt>
                <c:pt idx="76">
                  <c:v>475.74</c:v>
                </c:pt>
                <c:pt idx="77">
                  <c:v>435.12</c:v>
                </c:pt>
                <c:pt idx="78">
                  <c:v>446.15</c:v>
                </c:pt>
                <c:pt idx="79">
                  <c:v>436.64</c:v>
                </c:pt>
                <c:pt idx="80">
                  <c:v>436.69</c:v>
                </c:pt>
                <c:pt idx="81">
                  <c:v>468.75</c:v>
                </c:pt>
                <c:pt idx="82">
                  <c:v>466.6</c:v>
                </c:pt>
                <c:pt idx="83">
                  <c:v>465.48</c:v>
                </c:pt>
                <c:pt idx="84">
                  <c:v>441.34</c:v>
                </c:pt>
                <c:pt idx="85">
                  <c:v>441.83</c:v>
                </c:pt>
                <c:pt idx="86">
                  <c:v>464.7</c:v>
                </c:pt>
                <c:pt idx="87">
                  <c:v>437.99</c:v>
                </c:pt>
                <c:pt idx="88">
                  <c:v>459.12</c:v>
                </c:pt>
                <c:pt idx="89">
                  <c:v>429.69</c:v>
                </c:pt>
                <c:pt idx="90">
                  <c:v>459.8</c:v>
                </c:pt>
                <c:pt idx="91">
                  <c:v>433.63</c:v>
                </c:pt>
                <c:pt idx="92">
                  <c:v>442.84</c:v>
                </c:pt>
                <c:pt idx="93">
                  <c:v>485.13</c:v>
                </c:pt>
                <c:pt idx="94">
                  <c:v>459.12</c:v>
                </c:pt>
                <c:pt idx="95">
                  <c:v>445.31</c:v>
                </c:pt>
                <c:pt idx="96">
                  <c:v>480.8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5D-4BF8-8BE0-6DDFDE9F1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004232"/>
        <c:axId val="521005544"/>
      </c:scatterChart>
      <c:valAx>
        <c:axId val="521004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05544"/>
        <c:crosses val="autoZero"/>
        <c:crossBetween val="midCat"/>
      </c:valAx>
      <c:valAx>
        <c:axId val="52100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04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Ambient Temperature</a:t>
            </a:r>
            <a:r>
              <a:rPr lang="en-US" baseline="0"/>
              <a:t> vs. Net Hourly Electrical Output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'Least Squares'!$A$15:$A$111</c:f>
              <c:numCache>
                <c:formatCode>General</c:formatCode>
                <c:ptCount val="97"/>
                <c:pt idx="0">
                  <c:v>14.96</c:v>
                </c:pt>
                <c:pt idx="1">
                  <c:v>25.18</c:v>
                </c:pt>
                <c:pt idx="2">
                  <c:v>5.1100000000000003</c:v>
                </c:pt>
                <c:pt idx="3">
                  <c:v>20.86</c:v>
                </c:pt>
                <c:pt idx="4">
                  <c:v>10.82</c:v>
                </c:pt>
                <c:pt idx="5">
                  <c:v>26.27</c:v>
                </c:pt>
                <c:pt idx="6">
                  <c:v>15.89</c:v>
                </c:pt>
                <c:pt idx="7">
                  <c:v>9.48</c:v>
                </c:pt>
                <c:pt idx="8">
                  <c:v>14.64</c:v>
                </c:pt>
                <c:pt idx="9">
                  <c:v>11.74</c:v>
                </c:pt>
                <c:pt idx="10">
                  <c:v>17.989999999999998</c:v>
                </c:pt>
                <c:pt idx="11">
                  <c:v>20.14</c:v>
                </c:pt>
                <c:pt idx="12">
                  <c:v>24.34</c:v>
                </c:pt>
                <c:pt idx="13">
                  <c:v>25.71</c:v>
                </c:pt>
                <c:pt idx="14">
                  <c:v>26.19</c:v>
                </c:pt>
                <c:pt idx="15">
                  <c:v>21.42</c:v>
                </c:pt>
                <c:pt idx="16">
                  <c:v>18.21</c:v>
                </c:pt>
                <c:pt idx="17">
                  <c:v>11.04</c:v>
                </c:pt>
                <c:pt idx="18">
                  <c:v>14.45</c:v>
                </c:pt>
                <c:pt idx="19">
                  <c:v>13.97</c:v>
                </c:pt>
                <c:pt idx="20">
                  <c:v>17.760000000000002</c:v>
                </c:pt>
                <c:pt idx="21">
                  <c:v>5.41</c:v>
                </c:pt>
                <c:pt idx="22">
                  <c:v>7.76</c:v>
                </c:pt>
                <c:pt idx="23">
                  <c:v>27.23</c:v>
                </c:pt>
                <c:pt idx="24">
                  <c:v>27.36</c:v>
                </c:pt>
                <c:pt idx="25">
                  <c:v>27.47</c:v>
                </c:pt>
                <c:pt idx="26">
                  <c:v>14.6</c:v>
                </c:pt>
                <c:pt idx="27">
                  <c:v>7.91</c:v>
                </c:pt>
                <c:pt idx="28">
                  <c:v>5.81</c:v>
                </c:pt>
                <c:pt idx="29">
                  <c:v>30.53</c:v>
                </c:pt>
                <c:pt idx="30">
                  <c:v>23.87</c:v>
                </c:pt>
                <c:pt idx="31">
                  <c:v>26.09</c:v>
                </c:pt>
                <c:pt idx="32">
                  <c:v>29.27</c:v>
                </c:pt>
                <c:pt idx="33">
                  <c:v>27.38</c:v>
                </c:pt>
                <c:pt idx="34">
                  <c:v>24.81</c:v>
                </c:pt>
                <c:pt idx="35">
                  <c:v>12.75</c:v>
                </c:pt>
                <c:pt idx="36">
                  <c:v>24.66</c:v>
                </c:pt>
                <c:pt idx="37">
                  <c:v>16.38</c:v>
                </c:pt>
                <c:pt idx="38">
                  <c:v>13.91</c:v>
                </c:pt>
                <c:pt idx="39">
                  <c:v>23.18</c:v>
                </c:pt>
                <c:pt idx="40">
                  <c:v>22.47</c:v>
                </c:pt>
                <c:pt idx="41">
                  <c:v>13.39</c:v>
                </c:pt>
                <c:pt idx="42">
                  <c:v>9.2799999999999994</c:v>
                </c:pt>
                <c:pt idx="43">
                  <c:v>11.82</c:v>
                </c:pt>
                <c:pt idx="44">
                  <c:v>10.27</c:v>
                </c:pt>
                <c:pt idx="45">
                  <c:v>22.92</c:v>
                </c:pt>
                <c:pt idx="46">
                  <c:v>16</c:v>
                </c:pt>
                <c:pt idx="47">
                  <c:v>21.22</c:v>
                </c:pt>
                <c:pt idx="48">
                  <c:v>13.46</c:v>
                </c:pt>
                <c:pt idx="49">
                  <c:v>9.39</c:v>
                </c:pt>
                <c:pt idx="50">
                  <c:v>31.07</c:v>
                </c:pt>
                <c:pt idx="51">
                  <c:v>12.82</c:v>
                </c:pt>
                <c:pt idx="52">
                  <c:v>32.57</c:v>
                </c:pt>
                <c:pt idx="53">
                  <c:v>8.11</c:v>
                </c:pt>
                <c:pt idx="54">
                  <c:v>13.92</c:v>
                </c:pt>
                <c:pt idx="55">
                  <c:v>23.04</c:v>
                </c:pt>
                <c:pt idx="56">
                  <c:v>27.31</c:v>
                </c:pt>
                <c:pt idx="57">
                  <c:v>5.91</c:v>
                </c:pt>
                <c:pt idx="58">
                  <c:v>25.26</c:v>
                </c:pt>
                <c:pt idx="59">
                  <c:v>27.97</c:v>
                </c:pt>
                <c:pt idx="60">
                  <c:v>26.08</c:v>
                </c:pt>
                <c:pt idx="61">
                  <c:v>29.01</c:v>
                </c:pt>
                <c:pt idx="62">
                  <c:v>12.18</c:v>
                </c:pt>
                <c:pt idx="63">
                  <c:v>13.76</c:v>
                </c:pt>
                <c:pt idx="64">
                  <c:v>25.5</c:v>
                </c:pt>
                <c:pt idx="65">
                  <c:v>28.26</c:v>
                </c:pt>
                <c:pt idx="66">
                  <c:v>21.39</c:v>
                </c:pt>
                <c:pt idx="67">
                  <c:v>7.26</c:v>
                </c:pt>
                <c:pt idx="68">
                  <c:v>10.54</c:v>
                </c:pt>
                <c:pt idx="69">
                  <c:v>27.71</c:v>
                </c:pt>
                <c:pt idx="70">
                  <c:v>23.11</c:v>
                </c:pt>
                <c:pt idx="71">
                  <c:v>7.51</c:v>
                </c:pt>
                <c:pt idx="72">
                  <c:v>26.46</c:v>
                </c:pt>
                <c:pt idx="73">
                  <c:v>29.34</c:v>
                </c:pt>
                <c:pt idx="74">
                  <c:v>10.32</c:v>
                </c:pt>
                <c:pt idx="75">
                  <c:v>22.74</c:v>
                </c:pt>
                <c:pt idx="76">
                  <c:v>13.48</c:v>
                </c:pt>
                <c:pt idx="77">
                  <c:v>25.52</c:v>
                </c:pt>
                <c:pt idx="78">
                  <c:v>21.58</c:v>
                </c:pt>
                <c:pt idx="79">
                  <c:v>27.66</c:v>
                </c:pt>
                <c:pt idx="80">
                  <c:v>26.96</c:v>
                </c:pt>
                <c:pt idx="81">
                  <c:v>12.29</c:v>
                </c:pt>
                <c:pt idx="82">
                  <c:v>15.86</c:v>
                </c:pt>
                <c:pt idx="83">
                  <c:v>13.87</c:v>
                </c:pt>
                <c:pt idx="84">
                  <c:v>24.09</c:v>
                </c:pt>
                <c:pt idx="85">
                  <c:v>20.45</c:v>
                </c:pt>
                <c:pt idx="86">
                  <c:v>15.07</c:v>
                </c:pt>
                <c:pt idx="87">
                  <c:v>32.72</c:v>
                </c:pt>
                <c:pt idx="88">
                  <c:v>18.23</c:v>
                </c:pt>
                <c:pt idx="89">
                  <c:v>35.56</c:v>
                </c:pt>
                <c:pt idx="90">
                  <c:v>18.36</c:v>
                </c:pt>
                <c:pt idx="91">
                  <c:v>26.35</c:v>
                </c:pt>
                <c:pt idx="92">
                  <c:v>25.92</c:v>
                </c:pt>
                <c:pt idx="93">
                  <c:v>8.01</c:v>
                </c:pt>
                <c:pt idx="94">
                  <c:v>19.63</c:v>
                </c:pt>
                <c:pt idx="95">
                  <c:v>20.02</c:v>
                </c:pt>
                <c:pt idx="96">
                  <c:v>10.08</c:v>
                </c:pt>
              </c:numCache>
            </c:numRef>
          </c:xVal>
          <c:yVal>
            <c:numRef>
              <c:f>'Least Squares'!$B$15:$B$111</c:f>
              <c:numCache>
                <c:formatCode>General</c:formatCode>
                <c:ptCount val="97"/>
                <c:pt idx="0">
                  <c:v>463.26</c:v>
                </c:pt>
                <c:pt idx="1">
                  <c:v>444.37</c:v>
                </c:pt>
                <c:pt idx="2">
                  <c:v>488.56</c:v>
                </c:pt>
                <c:pt idx="3">
                  <c:v>446.48</c:v>
                </c:pt>
                <c:pt idx="4">
                  <c:v>473.9</c:v>
                </c:pt>
                <c:pt idx="5">
                  <c:v>443.67</c:v>
                </c:pt>
                <c:pt idx="6">
                  <c:v>467.35</c:v>
                </c:pt>
                <c:pt idx="7">
                  <c:v>478.42</c:v>
                </c:pt>
                <c:pt idx="8">
                  <c:v>475.98</c:v>
                </c:pt>
                <c:pt idx="9">
                  <c:v>477.5</c:v>
                </c:pt>
                <c:pt idx="10">
                  <c:v>453.02</c:v>
                </c:pt>
                <c:pt idx="11">
                  <c:v>453.99</c:v>
                </c:pt>
                <c:pt idx="12">
                  <c:v>440.29</c:v>
                </c:pt>
                <c:pt idx="13">
                  <c:v>451.28</c:v>
                </c:pt>
                <c:pt idx="14">
                  <c:v>433.99</c:v>
                </c:pt>
                <c:pt idx="15">
                  <c:v>462.19</c:v>
                </c:pt>
                <c:pt idx="16">
                  <c:v>467.54</c:v>
                </c:pt>
                <c:pt idx="17">
                  <c:v>477.2</c:v>
                </c:pt>
                <c:pt idx="18">
                  <c:v>459.85</c:v>
                </c:pt>
                <c:pt idx="19">
                  <c:v>464.3</c:v>
                </c:pt>
                <c:pt idx="20">
                  <c:v>468.27</c:v>
                </c:pt>
                <c:pt idx="21">
                  <c:v>495.24</c:v>
                </c:pt>
                <c:pt idx="22">
                  <c:v>483.8</c:v>
                </c:pt>
                <c:pt idx="23">
                  <c:v>443.61</c:v>
                </c:pt>
                <c:pt idx="24">
                  <c:v>436.06</c:v>
                </c:pt>
                <c:pt idx="25">
                  <c:v>443.25</c:v>
                </c:pt>
                <c:pt idx="26">
                  <c:v>464.16</c:v>
                </c:pt>
                <c:pt idx="27">
                  <c:v>475.52</c:v>
                </c:pt>
                <c:pt idx="28">
                  <c:v>484.41</c:v>
                </c:pt>
                <c:pt idx="29">
                  <c:v>437.89</c:v>
                </c:pt>
                <c:pt idx="30">
                  <c:v>445.11</c:v>
                </c:pt>
                <c:pt idx="31">
                  <c:v>438.86</c:v>
                </c:pt>
                <c:pt idx="32">
                  <c:v>440.98</c:v>
                </c:pt>
                <c:pt idx="33">
                  <c:v>436.65</c:v>
                </c:pt>
                <c:pt idx="34">
                  <c:v>444.26</c:v>
                </c:pt>
                <c:pt idx="35">
                  <c:v>465.86</c:v>
                </c:pt>
                <c:pt idx="36">
                  <c:v>444.37</c:v>
                </c:pt>
                <c:pt idx="37">
                  <c:v>450.69</c:v>
                </c:pt>
                <c:pt idx="38">
                  <c:v>469.02</c:v>
                </c:pt>
                <c:pt idx="39">
                  <c:v>448.86</c:v>
                </c:pt>
                <c:pt idx="40">
                  <c:v>447.14</c:v>
                </c:pt>
                <c:pt idx="41">
                  <c:v>469.18</c:v>
                </c:pt>
                <c:pt idx="42">
                  <c:v>482.8</c:v>
                </c:pt>
                <c:pt idx="43">
                  <c:v>476.7</c:v>
                </c:pt>
                <c:pt idx="44">
                  <c:v>474.99</c:v>
                </c:pt>
                <c:pt idx="45">
                  <c:v>444.22</c:v>
                </c:pt>
                <c:pt idx="46">
                  <c:v>461.33</c:v>
                </c:pt>
                <c:pt idx="47">
                  <c:v>448.06</c:v>
                </c:pt>
                <c:pt idx="48">
                  <c:v>474.6</c:v>
                </c:pt>
                <c:pt idx="49">
                  <c:v>473.05</c:v>
                </c:pt>
                <c:pt idx="50">
                  <c:v>432.06</c:v>
                </c:pt>
                <c:pt idx="51">
                  <c:v>467.41</c:v>
                </c:pt>
                <c:pt idx="52">
                  <c:v>430.12</c:v>
                </c:pt>
                <c:pt idx="53">
                  <c:v>473.62</c:v>
                </c:pt>
                <c:pt idx="54">
                  <c:v>471.81</c:v>
                </c:pt>
                <c:pt idx="55">
                  <c:v>442.99</c:v>
                </c:pt>
                <c:pt idx="56">
                  <c:v>442.77</c:v>
                </c:pt>
                <c:pt idx="57">
                  <c:v>491.49</c:v>
                </c:pt>
                <c:pt idx="58">
                  <c:v>447.46</c:v>
                </c:pt>
                <c:pt idx="59">
                  <c:v>446.11</c:v>
                </c:pt>
                <c:pt idx="60">
                  <c:v>442.44</c:v>
                </c:pt>
                <c:pt idx="61">
                  <c:v>446.22</c:v>
                </c:pt>
                <c:pt idx="62">
                  <c:v>471.49</c:v>
                </c:pt>
                <c:pt idx="63">
                  <c:v>463.5</c:v>
                </c:pt>
                <c:pt idx="64">
                  <c:v>440.01</c:v>
                </c:pt>
                <c:pt idx="65">
                  <c:v>441.03</c:v>
                </c:pt>
                <c:pt idx="66">
                  <c:v>452.68</c:v>
                </c:pt>
                <c:pt idx="67">
                  <c:v>474.91</c:v>
                </c:pt>
                <c:pt idx="68">
                  <c:v>478.77</c:v>
                </c:pt>
                <c:pt idx="69">
                  <c:v>434.2</c:v>
                </c:pt>
                <c:pt idx="70">
                  <c:v>437.91</c:v>
                </c:pt>
                <c:pt idx="71">
                  <c:v>477.61</c:v>
                </c:pt>
                <c:pt idx="72">
                  <c:v>431.65</c:v>
                </c:pt>
                <c:pt idx="73">
                  <c:v>430.57</c:v>
                </c:pt>
                <c:pt idx="74">
                  <c:v>481.09</c:v>
                </c:pt>
                <c:pt idx="75">
                  <c:v>445.56</c:v>
                </c:pt>
                <c:pt idx="76">
                  <c:v>475.74</c:v>
                </c:pt>
                <c:pt idx="77">
                  <c:v>435.12</c:v>
                </c:pt>
                <c:pt idx="78">
                  <c:v>446.15</c:v>
                </c:pt>
                <c:pt idx="79">
                  <c:v>436.64</c:v>
                </c:pt>
                <c:pt idx="80">
                  <c:v>436.69</c:v>
                </c:pt>
                <c:pt idx="81">
                  <c:v>468.75</c:v>
                </c:pt>
                <c:pt idx="82">
                  <c:v>466.6</c:v>
                </c:pt>
                <c:pt idx="83">
                  <c:v>465.48</c:v>
                </c:pt>
                <c:pt idx="84">
                  <c:v>441.34</c:v>
                </c:pt>
                <c:pt idx="85">
                  <c:v>441.83</c:v>
                </c:pt>
                <c:pt idx="86">
                  <c:v>464.7</c:v>
                </c:pt>
                <c:pt idx="87">
                  <c:v>437.99</c:v>
                </c:pt>
                <c:pt idx="88">
                  <c:v>459.12</c:v>
                </c:pt>
                <c:pt idx="89">
                  <c:v>429.69</c:v>
                </c:pt>
                <c:pt idx="90">
                  <c:v>459.8</c:v>
                </c:pt>
                <c:pt idx="91">
                  <c:v>433.63</c:v>
                </c:pt>
                <c:pt idx="92">
                  <c:v>442.84</c:v>
                </c:pt>
                <c:pt idx="93">
                  <c:v>485.13</c:v>
                </c:pt>
                <c:pt idx="94">
                  <c:v>459.12</c:v>
                </c:pt>
                <c:pt idx="95">
                  <c:v>445.31</c:v>
                </c:pt>
                <c:pt idx="96">
                  <c:v>480.8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E-4A76-827F-D1C3E1C3F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786120"/>
        <c:axId val="520780216"/>
      </c:scatterChart>
      <c:valAx>
        <c:axId val="520786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Ambient Temperature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80216"/>
        <c:crosses val="autoZero"/>
        <c:crossBetween val="midCat"/>
      </c:valAx>
      <c:valAx>
        <c:axId val="52078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Hourly Electrical Output (MW)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539278131634821E-2"/>
              <c:y val="0.440266428960530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86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163830</xdr:rowOff>
    </xdr:from>
    <xdr:to>
      <xdr:col>19</xdr:col>
      <xdr:colOff>175260</xdr:colOff>
      <xdr:row>29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29FD8-27B0-4F22-B718-C87E84970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0.22113</cdr:x>
      <cdr:y>0.34274</cdr:y>
    </cdr:from>
    <cdr:to>
      <cdr:x>0.84767</cdr:x>
      <cdr:y>0.88999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A6419A75-5CE0-448C-8C6E-ED309ADCA946}"/>
            </a:ext>
          </a:extLst>
        </cdr:cNvPr>
        <cdr:cNvCxnSpPr/>
      </cdr:nvCxnSpPr>
      <cdr:spPr>
        <a:xfrm xmlns:a="http://schemas.openxmlformats.org/drawingml/2006/main">
          <a:off x="685800" y="925830"/>
          <a:ext cx="1943100" cy="147828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</xdr:colOff>
      <xdr:row>23</xdr:row>
      <xdr:rowOff>22860</xdr:rowOff>
    </xdr:from>
    <xdr:to>
      <xdr:col>17</xdr:col>
      <xdr:colOff>716280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FECCAB-FD3F-43AF-86AC-C78AB6E4D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11"/>
  <sheetViews>
    <sheetView topLeftCell="B6" zoomScaleNormal="100" workbookViewId="0">
      <selection activeCell="O18" sqref="O18"/>
    </sheetView>
  </sheetViews>
  <sheetFormatPr defaultColWidth="10.6640625" defaultRowHeight="13.2" x14ac:dyDescent="0.25"/>
  <cols>
    <col min="7" max="7" width="11.5546875" bestFit="1" customWidth="1"/>
    <col min="8" max="9" width="11.5546875" customWidth="1"/>
    <col min="11" max="11" width="13.5546875" customWidth="1"/>
  </cols>
  <sheetData>
    <row r="1" spans="1:25" s="1" customFormat="1" ht="17.25" customHeight="1" x14ac:dyDescent="0.3">
      <c r="A1" s="12" t="s">
        <v>5</v>
      </c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</row>
    <row r="2" spans="1:25" s="1" customFormat="1" ht="17.25" customHeight="1" x14ac:dyDescent="0.25">
      <c r="A2" s="30" t="s">
        <v>16</v>
      </c>
      <c r="B2" s="31"/>
      <c r="C2" s="37" t="s">
        <v>34</v>
      </c>
      <c r="D2" s="37"/>
      <c r="E2" s="37"/>
      <c r="F2" s="20"/>
      <c r="G2" s="20"/>
      <c r="H2" s="20"/>
      <c r="I2" s="20"/>
      <c r="J2" s="39"/>
      <c r="K2" s="39"/>
      <c r="L2" s="39"/>
      <c r="M2" s="39"/>
      <c r="N2" s="40" t="s">
        <v>17</v>
      </c>
      <c r="O2" s="40"/>
      <c r="P2" s="40"/>
      <c r="Q2" s="40" t="s">
        <v>18</v>
      </c>
      <c r="R2" s="40"/>
      <c r="S2" s="40"/>
    </row>
    <row r="3" spans="1:25" s="1" customFormat="1" ht="17.25" customHeight="1" x14ac:dyDescent="0.25">
      <c r="A3" s="30" t="s">
        <v>19</v>
      </c>
      <c r="B3" s="31"/>
      <c r="C3" s="37" t="s">
        <v>35</v>
      </c>
      <c r="D3" s="37"/>
      <c r="E3" s="37"/>
      <c r="F3" s="20"/>
      <c r="G3" s="20"/>
      <c r="H3" s="20"/>
      <c r="I3" s="20"/>
      <c r="J3" s="35" t="s">
        <v>20</v>
      </c>
      <c r="K3" s="35"/>
      <c r="L3" s="35"/>
      <c r="M3" s="35"/>
      <c r="N3" s="36"/>
      <c r="O3" s="36"/>
      <c r="P3" s="36"/>
      <c r="Q3" s="38"/>
      <c r="R3" s="38"/>
      <c r="S3" s="38"/>
    </row>
    <row r="4" spans="1:25" s="1" customFormat="1" ht="17.25" customHeight="1" x14ac:dyDescent="0.25">
      <c r="A4" s="32" t="s">
        <v>21</v>
      </c>
      <c r="B4" s="33"/>
      <c r="C4" s="37" t="s">
        <v>36</v>
      </c>
      <c r="D4" s="37"/>
      <c r="E4" s="37"/>
      <c r="F4" s="20"/>
      <c r="G4" s="20"/>
      <c r="H4" s="20"/>
      <c r="I4" s="20"/>
      <c r="J4" s="35" t="s">
        <v>22</v>
      </c>
      <c r="K4" s="35"/>
      <c r="L4" s="35"/>
      <c r="M4" s="35"/>
      <c r="N4" s="36"/>
      <c r="O4" s="36"/>
      <c r="P4" s="36"/>
      <c r="Q4" s="38"/>
      <c r="R4" s="38"/>
      <c r="S4" s="38"/>
    </row>
    <row r="5" spans="1:25" s="1" customFormat="1" ht="17.25" customHeight="1" x14ac:dyDescent="0.25">
      <c r="A5" s="32" t="s">
        <v>3</v>
      </c>
      <c r="B5" s="33"/>
      <c r="C5" s="37" t="s">
        <v>37</v>
      </c>
      <c r="D5" s="37"/>
      <c r="E5" s="37"/>
      <c r="F5" s="20"/>
      <c r="G5" s="20"/>
      <c r="H5" s="20"/>
      <c r="I5" s="20"/>
      <c r="J5" s="35" t="s">
        <v>23</v>
      </c>
      <c r="K5" s="35"/>
      <c r="L5" s="35"/>
      <c r="M5" s="35"/>
      <c r="N5" s="36"/>
      <c r="O5" s="36"/>
      <c r="P5" s="36"/>
      <c r="Q5" s="38"/>
      <c r="R5" s="38"/>
      <c r="S5" s="38"/>
    </row>
    <row r="6" spans="1:25" s="1" customFormat="1" x14ac:dyDescent="0.25">
      <c r="A6" s="3"/>
      <c r="B6" s="3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</row>
    <row r="7" spans="1:25" s="1" customFormat="1" ht="14.4" x14ac:dyDescent="0.3">
      <c r="A7" s="21" t="s">
        <v>31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6"/>
    </row>
    <row r="8" spans="1:25" s="1" customFormat="1" ht="14.4" x14ac:dyDescent="0.3">
      <c r="A8" s="21" t="s">
        <v>33</v>
      </c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6"/>
    </row>
    <row r="9" spans="1:25" s="1" customFormat="1" ht="14.4" x14ac:dyDescent="0.3">
      <c r="A9" s="21" t="s">
        <v>32</v>
      </c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6"/>
    </row>
    <row r="10" spans="1:25" s="1" customFormat="1" ht="14.4" x14ac:dyDescent="0.3">
      <c r="A10" s="11"/>
      <c r="B10" s="11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25" s="2" customFormat="1" ht="26.25" customHeight="1" x14ac:dyDescent="0.25">
      <c r="A11" s="34" t="s">
        <v>4</v>
      </c>
      <c r="B11" s="34"/>
      <c r="C11" s="29" t="s">
        <v>40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7"/>
    </row>
    <row r="12" spans="1:2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5" x14ac:dyDescent="0.25">
      <c r="A13" s="25" t="s">
        <v>2</v>
      </c>
      <c r="B13" s="25"/>
      <c r="C13" s="8"/>
      <c r="E13" s="23" t="s">
        <v>1</v>
      </c>
      <c r="F13" s="24"/>
      <c r="G13" s="54"/>
      <c r="H13" s="54"/>
      <c r="I13" s="54"/>
      <c r="N13" s="25" t="s">
        <v>0</v>
      </c>
      <c r="O13" s="26"/>
      <c r="Q13" s="8"/>
      <c r="T13" s="8"/>
      <c r="U13" s="8"/>
      <c r="V13" s="8"/>
    </row>
    <row r="14" spans="1:25" x14ac:dyDescent="0.25">
      <c r="A14" t="s">
        <v>38</v>
      </c>
      <c r="B14" t="s">
        <v>39</v>
      </c>
      <c r="C14" s="8"/>
      <c r="D14" s="8"/>
      <c r="E14" s="50" t="s">
        <v>58</v>
      </c>
      <c r="F14" s="50"/>
      <c r="G14" t="s">
        <v>44</v>
      </c>
      <c r="H14" t="s">
        <v>45</v>
      </c>
      <c r="I14" t="s">
        <v>47</v>
      </c>
      <c r="J14" s="8" t="s">
        <v>42</v>
      </c>
      <c r="K14" s="55" t="s">
        <v>49</v>
      </c>
      <c r="L14" s="55" t="s">
        <v>48</v>
      </c>
      <c r="M14" s="8" t="s">
        <v>43</v>
      </c>
      <c r="N14" s="10" t="s">
        <v>42</v>
      </c>
      <c r="O14" s="10">
        <f>J15</f>
        <v>78364.414244469037</v>
      </c>
      <c r="P14" s="8"/>
      <c r="Q14" s="8"/>
      <c r="R14" s="8"/>
      <c r="S14" s="8"/>
      <c r="T14" s="8"/>
      <c r="U14" s="8"/>
      <c r="V14" s="8"/>
      <c r="W14" s="8"/>
    </row>
    <row r="15" spans="1:25" x14ac:dyDescent="0.25">
      <c r="A15">
        <v>14.96</v>
      </c>
      <c r="B15">
        <v>463.26</v>
      </c>
      <c r="C15" s="8"/>
      <c r="D15" s="8"/>
      <c r="E15" s="50"/>
      <c r="F15" s="50"/>
      <c r="G15" s="51">
        <f>-2.251559934*($A15)+477.0545287</f>
        <v>443.37119208735999</v>
      </c>
      <c r="H15" s="51">
        <f>G15-$E$30</f>
        <v>-13.330148118825548</v>
      </c>
      <c r="I15" s="51">
        <f>H15^2</f>
        <v>177.69284886982828</v>
      </c>
      <c r="J15" s="8">
        <f>SUM(I15:I111)</f>
        <v>78364.414244469037</v>
      </c>
      <c r="K15" s="8">
        <f>(B15-G15)^2</f>
        <v>395.56468018589163</v>
      </c>
      <c r="L15" s="8">
        <f>SUM(K15:K111)</f>
        <v>52696.60226784509</v>
      </c>
      <c r="M15" s="8">
        <f>J15+L15</f>
        <v>131061.01651231412</v>
      </c>
      <c r="O15" s="13"/>
      <c r="P15" s="8"/>
      <c r="Q15" s="8"/>
      <c r="R15" s="8"/>
      <c r="S15" s="9"/>
      <c r="T15" s="8"/>
      <c r="U15" s="8"/>
      <c r="V15" s="8"/>
      <c r="W15" s="8"/>
    </row>
    <row r="16" spans="1:25" ht="13.2" customHeight="1" x14ac:dyDescent="0.25">
      <c r="A16">
        <v>25.18</v>
      </c>
      <c r="B16">
        <v>444.37</v>
      </c>
      <c r="C16" s="8"/>
      <c r="D16" s="8"/>
      <c r="E16" s="50" t="s">
        <v>57</v>
      </c>
      <c r="F16" s="50"/>
      <c r="G16" s="51">
        <f t="shared" ref="G16:G79" si="0">-2.251559934*($A16)+477.0545287</f>
        <v>420.36024956187998</v>
      </c>
      <c r="H16" s="51">
        <f t="shared" ref="H16:H79" si="1">G16-$E$30</f>
        <v>-36.341090644305552</v>
      </c>
      <c r="I16" s="51">
        <f t="shared" ref="I16:I79" si="2">H16^2</f>
        <v>1320.6748692176325</v>
      </c>
      <c r="J16" s="8"/>
      <c r="K16" s="8">
        <f t="shared" ref="K16:K79" si="3">(B16-G16)^2</f>
        <v>576.46811610080465</v>
      </c>
      <c r="L16" s="8"/>
      <c r="M16" s="8"/>
      <c r="N16" s="10" t="s">
        <v>43</v>
      </c>
      <c r="O16" s="8">
        <f>M15</f>
        <v>131061.01651231412</v>
      </c>
      <c r="P16" s="8"/>
      <c r="Q16" s="8"/>
      <c r="R16" s="8"/>
      <c r="S16" s="9"/>
      <c r="T16" s="9"/>
      <c r="U16" s="8"/>
      <c r="V16" s="8"/>
      <c r="W16" s="8"/>
    </row>
    <row r="17" spans="1:20" x14ac:dyDescent="0.25">
      <c r="A17">
        <v>5.1100000000000003</v>
      </c>
      <c r="B17">
        <v>488.56</v>
      </c>
      <c r="C17" s="8"/>
      <c r="D17" s="8"/>
      <c r="E17" s="50"/>
      <c r="F17" s="50"/>
      <c r="G17" s="51">
        <f t="shared" si="0"/>
        <v>465.54905743725999</v>
      </c>
      <c r="H17" s="51">
        <f t="shared" si="1"/>
        <v>8.847717231074455</v>
      </c>
      <c r="I17" s="51">
        <f t="shared" si="2"/>
        <v>78.282100201051819</v>
      </c>
      <c r="J17" s="8"/>
      <c r="K17" s="8">
        <f t="shared" si="3"/>
        <v>529.50347762571994</v>
      </c>
      <c r="L17" s="8"/>
      <c r="M17" s="8"/>
      <c r="O17" s="8"/>
      <c r="P17" s="8"/>
      <c r="Q17" s="8"/>
      <c r="R17" s="8"/>
      <c r="S17" s="8"/>
      <c r="T17" s="8"/>
    </row>
    <row r="18" spans="1:20" x14ac:dyDescent="0.25">
      <c r="A18">
        <v>20.86</v>
      </c>
      <c r="B18">
        <v>446.48</v>
      </c>
      <c r="C18" s="8"/>
      <c r="D18" s="8"/>
      <c r="E18" s="50"/>
      <c r="F18" s="50"/>
      <c r="G18" s="51">
        <f t="shared" si="0"/>
        <v>430.08698847675998</v>
      </c>
      <c r="H18" s="51">
        <f t="shared" si="1"/>
        <v>-26.61435172942555</v>
      </c>
      <c r="I18" s="51">
        <f t="shared" si="2"/>
        <v>708.32371797757673</v>
      </c>
      <c r="J18" s="8"/>
      <c r="K18" s="8">
        <f t="shared" si="3"/>
        <v>268.73082680108053</v>
      </c>
      <c r="L18" s="8"/>
      <c r="M18" s="8"/>
      <c r="N18" s="56" t="s">
        <v>50</v>
      </c>
      <c r="O18" s="8">
        <f>1-(L15/M15)</f>
        <v>0.59792313786232643</v>
      </c>
      <c r="P18" s="8"/>
      <c r="Q18" s="8"/>
      <c r="R18" s="8"/>
      <c r="S18" s="8"/>
      <c r="T18" s="8"/>
    </row>
    <row r="19" spans="1:20" x14ac:dyDescent="0.25">
      <c r="A19">
        <v>10.82</v>
      </c>
      <c r="B19">
        <v>473.9</v>
      </c>
      <c r="C19" s="8"/>
      <c r="D19" s="8"/>
      <c r="E19" s="50" t="s">
        <v>56</v>
      </c>
      <c r="F19" s="50"/>
      <c r="G19" s="51">
        <f t="shared" si="0"/>
        <v>452.69265021412002</v>
      </c>
      <c r="H19" s="51">
        <f t="shared" si="1"/>
        <v>-4.0086899920655128</v>
      </c>
      <c r="I19" s="51">
        <f t="shared" si="2"/>
        <v>16.069595452486201</v>
      </c>
      <c r="J19" s="8"/>
      <c r="K19" s="8">
        <f t="shared" si="3"/>
        <v>449.75168494066259</v>
      </c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25">
      <c r="A20">
        <v>26.27</v>
      </c>
      <c r="B20">
        <v>443.67</v>
      </c>
      <c r="C20" s="8"/>
      <c r="D20" s="8"/>
      <c r="E20" s="50"/>
      <c r="F20" s="50"/>
      <c r="G20" s="51">
        <f t="shared" si="0"/>
        <v>417.90604923382</v>
      </c>
      <c r="H20" s="51">
        <f t="shared" si="1"/>
        <v>-38.795290972365535</v>
      </c>
      <c r="I20" s="51">
        <f t="shared" si="2"/>
        <v>1505.0746016305068</v>
      </c>
      <c r="J20" s="8"/>
      <c r="K20" s="8">
        <f t="shared" si="3"/>
        <v>663.78115908214784</v>
      </c>
      <c r="L20" s="8"/>
      <c r="M20" s="8"/>
      <c r="N20" s="8"/>
      <c r="O20" s="8"/>
      <c r="P20" s="8"/>
      <c r="Q20" s="8"/>
      <c r="R20" s="8"/>
      <c r="S20" s="8"/>
      <c r="T20" s="8"/>
    </row>
    <row r="21" spans="1:20" ht="13.2" customHeight="1" x14ac:dyDescent="0.25">
      <c r="A21">
        <v>15.89</v>
      </c>
      <c r="B21">
        <v>467.35</v>
      </c>
      <c r="E21" s="52" t="s">
        <v>55</v>
      </c>
      <c r="F21" s="52"/>
      <c r="G21" s="51">
        <f t="shared" si="0"/>
        <v>441.27724134874001</v>
      </c>
      <c r="H21" s="51">
        <f t="shared" si="1"/>
        <v>-15.424098857445529</v>
      </c>
      <c r="I21" s="51">
        <f t="shared" si="2"/>
        <v>237.90282556425245</v>
      </c>
      <c r="J21" s="8"/>
      <c r="K21" s="8">
        <f t="shared" si="3"/>
        <v>679.7887436868541</v>
      </c>
      <c r="L21" s="8"/>
      <c r="M21" s="8"/>
      <c r="N21" s="8"/>
      <c r="O21" s="8"/>
    </row>
    <row r="22" spans="1:20" ht="13.2" customHeight="1" x14ac:dyDescent="0.25">
      <c r="A22">
        <v>9.48</v>
      </c>
      <c r="B22">
        <v>478.42</v>
      </c>
      <c r="E22" s="52"/>
      <c r="F22" s="52"/>
      <c r="G22" s="51">
        <f t="shared" si="0"/>
        <v>455.70974052567999</v>
      </c>
      <c r="H22" s="51">
        <f t="shared" si="1"/>
        <v>-0.99159968050554426</v>
      </c>
      <c r="I22" s="51">
        <f t="shared" si="2"/>
        <v>0.98326992637869748</v>
      </c>
      <c r="K22" s="8">
        <f t="shared" si="3"/>
        <v>515.75588539094247</v>
      </c>
    </row>
    <row r="23" spans="1:20" x14ac:dyDescent="0.25">
      <c r="A23">
        <v>14.64</v>
      </c>
      <c r="B23">
        <v>475.98</v>
      </c>
      <c r="E23" s="52"/>
      <c r="F23" s="52"/>
      <c r="G23" s="51">
        <f t="shared" si="0"/>
        <v>444.09169126623999</v>
      </c>
      <c r="H23" s="51">
        <f t="shared" si="1"/>
        <v>-12.609648939945544</v>
      </c>
      <c r="I23" s="51">
        <f t="shared" si="2"/>
        <v>159.00324638866977</v>
      </c>
      <c r="K23" s="8">
        <f t="shared" si="3"/>
        <v>1016.864233899596</v>
      </c>
    </row>
    <row r="24" spans="1:20" x14ac:dyDescent="0.25">
      <c r="A24">
        <v>11.74</v>
      </c>
      <c r="B24">
        <v>477.5</v>
      </c>
      <c r="G24" s="51">
        <f t="shared" si="0"/>
        <v>450.62121507483999</v>
      </c>
      <c r="H24" s="51">
        <f t="shared" si="1"/>
        <v>-6.0801251313455396</v>
      </c>
      <c r="I24" s="51">
        <f t="shared" si="2"/>
        <v>36.967921612819616</v>
      </c>
      <c r="K24" s="8">
        <f t="shared" si="3"/>
        <v>722.46907905300873</v>
      </c>
    </row>
    <row r="25" spans="1:20" ht="14.4" x14ac:dyDescent="0.3">
      <c r="A25">
        <v>17.989999999999998</v>
      </c>
      <c r="B25">
        <v>453.02</v>
      </c>
      <c r="E25" s="53" t="s">
        <v>41</v>
      </c>
      <c r="F25" s="53"/>
      <c r="G25" s="51">
        <f t="shared" si="0"/>
        <v>436.54896548734001</v>
      </c>
      <c r="H25" s="51">
        <f t="shared" si="1"/>
        <v>-20.152374718845522</v>
      </c>
      <c r="I25" s="51">
        <f t="shared" si="2"/>
        <v>406.11820680876411</v>
      </c>
      <c r="K25" s="8">
        <f t="shared" si="3"/>
        <v>271.29497791723583</v>
      </c>
    </row>
    <row r="26" spans="1:20" x14ac:dyDescent="0.25">
      <c r="A26">
        <v>20.14</v>
      </c>
      <c r="B26">
        <v>453.99</v>
      </c>
      <c r="E26">
        <v>5.1100000000000003</v>
      </c>
      <c r="F26">
        <v>488.56</v>
      </c>
      <c r="G26" s="51">
        <f t="shared" si="0"/>
        <v>431.70811162923997</v>
      </c>
      <c r="H26" s="51">
        <f t="shared" si="1"/>
        <v>-24.993228576945569</v>
      </c>
      <c r="I26" s="51">
        <f t="shared" si="2"/>
        <v>624.6614746994486</v>
      </c>
      <c r="K26" s="8">
        <f t="shared" si="3"/>
        <v>496.48254936701164</v>
      </c>
    </row>
    <row r="27" spans="1:20" x14ac:dyDescent="0.25">
      <c r="A27">
        <v>24.34</v>
      </c>
      <c r="B27">
        <v>440.29</v>
      </c>
      <c r="E27">
        <v>35.56</v>
      </c>
      <c r="F27">
        <v>0</v>
      </c>
      <c r="G27" s="51">
        <f t="shared" si="0"/>
        <v>422.25155990643998</v>
      </c>
      <c r="H27" s="51">
        <f t="shared" si="1"/>
        <v>-34.449780299745555</v>
      </c>
      <c r="I27" s="51">
        <f t="shared" si="2"/>
        <v>1186.787362700737</v>
      </c>
      <c r="K27" s="8">
        <f t="shared" si="3"/>
        <v>325.38532100895441</v>
      </c>
    </row>
    <row r="28" spans="1:20" x14ac:dyDescent="0.25">
      <c r="A28">
        <v>25.71</v>
      </c>
      <c r="B28">
        <v>451.28</v>
      </c>
      <c r="G28" s="51">
        <f t="shared" si="0"/>
        <v>419.16692279685998</v>
      </c>
      <c r="H28" s="51">
        <f t="shared" si="1"/>
        <v>-37.534417409325556</v>
      </c>
      <c r="I28" s="51">
        <f t="shared" si="2"/>
        <v>1408.8324902574814</v>
      </c>
      <c r="K28" s="8">
        <f t="shared" si="3"/>
        <v>1031.2497274548296</v>
      </c>
    </row>
    <row r="29" spans="1:20" x14ac:dyDescent="0.25">
      <c r="A29">
        <v>26.19</v>
      </c>
      <c r="B29">
        <v>433.99</v>
      </c>
      <c r="E29" s="49" t="s">
        <v>46</v>
      </c>
      <c r="F29" s="49"/>
      <c r="G29" s="51">
        <f t="shared" si="0"/>
        <v>418.08617402853997</v>
      </c>
      <c r="H29" s="51">
        <f t="shared" si="1"/>
        <v>-38.615166177645563</v>
      </c>
      <c r="I29" s="51">
        <f t="shared" si="2"/>
        <v>1491.1310589271818</v>
      </c>
      <c r="K29" s="8">
        <f t="shared" si="3"/>
        <v>252.9316805304868</v>
      </c>
    </row>
    <row r="30" spans="1:20" x14ac:dyDescent="0.25">
      <c r="A30">
        <v>21.42</v>
      </c>
      <c r="B30">
        <v>462.19</v>
      </c>
      <c r="E30" s="49">
        <f>SUM(B15:B111)/COUNT(B15:B111)</f>
        <v>456.70134020618553</v>
      </c>
      <c r="F30" s="49"/>
      <c r="G30" s="51">
        <f t="shared" si="0"/>
        <v>428.82611491372001</v>
      </c>
      <c r="H30" s="51">
        <f t="shared" si="1"/>
        <v>-27.875225292465529</v>
      </c>
      <c r="I30" s="51">
        <f t="shared" si="2"/>
        <v>777.02818510571001</v>
      </c>
      <c r="K30" s="8">
        <f t="shared" si="3"/>
        <v>1113.1488280504966</v>
      </c>
    </row>
    <row r="31" spans="1:20" x14ac:dyDescent="0.25">
      <c r="A31">
        <v>18.21</v>
      </c>
      <c r="B31">
        <v>467.54</v>
      </c>
      <c r="G31" s="51">
        <f t="shared" si="0"/>
        <v>436.05362230186</v>
      </c>
      <c r="H31" s="51">
        <f t="shared" si="1"/>
        <v>-20.647717904325532</v>
      </c>
      <c r="I31" s="51">
        <f t="shared" si="2"/>
        <v>426.32825465660511</v>
      </c>
      <c r="K31" s="8">
        <f t="shared" si="3"/>
        <v>991.39198054992914</v>
      </c>
    </row>
    <row r="32" spans="1:20" x14ac:dyDescent="0.25">
      <c r="A32">
        <v>11.04</v>
      </c>
      <c r="B32">
        <v>477.2</v>
      </c>
      <c r="G32" s="51">
        <f t="shared" si="0"/>
        <v>452.19730702864001</v>
      </c>
      <c r="H32" s="51">
        <f t="shared" si="1"/>
        <v>-4.5040331775455229</v>
      </c>
      <c r="I32" s="51">
        <f t="shared" si="2"/>
        <v>20.286314864430821</v>
      </c>
      <c r="K32" s="8">
        <f t="shared" si="3"/>
        <v>625.1346558200936</v>
      </c>
    </row>
    <row r="33" spans="1:11" x14ac:dyDescent="0.25">
      <c r="A33">
        <v>14.45</v>
      </c>
      <c r="B33">
        <v>459.85</v>
      </c>
      <c r="G33" s="51">
        <f t="shared" si="0"/>
        <v>444.51948765370003</v>
      </c>
      <c r="H33" s="51">
        <f t="shared" si="1"/>
        <v>-12.181852552485509</v>
      </c>
      <c r="I33" s="51">
        <f t="shared" si="2"/>
        <v>148.39753161049771</v>
      </c>
      <c r="K33" s="8">
        <f t="shared" si="3"/>
        <v>235.02460880005665</v>
      </c>
    </row>
    <row r="34" spans="1:11" x14ac:dyDescent="0.25">
      <c r="A34">
        <v>13.97</v>
      </c>
      <c r="B34">
        <v>464.3</v>
      </c>
      <c r="G34" s="51">
        <f t="shared" si="0"/>
        <v>445.60023642201998</v>
      </c>
      <c r="H34" s="51">
        <f t="shared" si="1"/>
        <v>-11.101103784165559</v>
      </c>
      <c r="I34" s="51">
        <f t="shared" si="2"/>
        <v>123.2345052268149</v>
      </c>
      <c r="K34" s="8">
        <f t="shared" si="3"/>
        <v>349.68115787234871</v>
      </c>
    </row>
    <row r="35" spans="1:11" x14ac:dyDescent="0.25">
      <c r="A35">
        <v>17.760000000000002</v>
      </c>
      <c r="B35">
        <v>468.27</v>
      </c>
      <c r="G35" s="51">
        <f t="shared" si="0"/>
        <v>437.06682427215998</v>
      </c>
      <c r="H35" s="51">
        <f t="shared" si="1"/>
        <v>-19.634515934025558</v>
      </c>
      <c r="I35" s="51">
        <f t="shared" si="2"/>
        <v>385.51421596350355</v>
      </c>
      <c r="K35" s="8">
        <f t="shared" si="3"/>
        <v>973.63817550246358</v>
      </c>
    </row>
    <row r="36" spans="1:11" x14ac:dyDescent="0.25">
      <c r="A36">
        <v>5.41</v>
      </c>
      <c r="B36">
        <v>495.24</v>
      </c>
      <c r="G36" s="51">
        <f t="shared" si="0"/>
        <v>464.87358945706001</v>
      </c>
      <c r="H36" s="51">
        <f t="shared" si="1"/>
        <v>8.1722492508744722</v>
      </c>
      <c r="I36" s="51">
        <f t="shared" si="2"/>
        <v>66.785657818418372</v>
      </c>
      <c r="K36" s="8">
        <f t="shared" si="3"/>
        <v>922.11888926237771</v>
      </c>
    </row>
    <row r="37" spans="1:11" x14ac:dyDescent="0.25">
      <c r="A37">
        <v>7.76</v>
      </c>
      <c r="B37">
        <v>483.8</v>
      </c>
      <c r="G37" s="51">
        <f t="shared" si="0"/>
        <v>459.58242361215997</v>
      </c>
      <c r="H37" s="51">
        <f t="shared" si="1"/>
        <v>2.8810834059744366</v>
      </c>
      <c r="I37" s="51">
        <f t="shared" si="2"/>
        <v>8.3006415921812593</v>
      </c>
      <c r="K37" s="8">
        <f t="shared" si="3"/>
        <v>586.49100610086748</v>
      </c>
    </row>
    <row r="38" spans="1:11" x14ac:dyDescent="0.25">
      <c r="A38">
        <v>27.23</v>
      </c>
      <c r="B38">
        <v>443.61</v>
      </c>
      <c r="G38" s="51">
        <f t="shared" si="0"/>
        <v>415.74455169717999</v>
      </c>
      <c r="H38" s="51">
        <f t="shared" si="1"/>
        <v>-40.956788509005548</v>
      </c>
      <c r="I38" s="51">
        <f t="shared" si="2"/>
        <v>1677.4585249714089</v>
      </c>
      <c r="K38" s="8">
        <f t="shared" si="3"/>
        <v>776.48320911713552</v>
      </c>
    </row>
    <row r="39" spans="1:11" x14ac:dyDescent="0.25">
      <c r="A39">
        <v>27.36</v>
      </c>
      <c r="B39">
        <v>436.06</v>
      </c>
      <c r="G39" s="51">
        <f t="shared" si="0"/>
        <v>415.45184890576002</v>
      </c>
      <c r="H39" s="51">
        <f t="shared" si="1"/>
        <v>-41.249491300425518</v>
      </c>
      <c r="I39" s="51">
        <f t="shared" si="2"/>
        <v>1701.5205325438806</v>
      </c>
      <c r="K39" s="8">
        <f t="shared" si="3"/>
        <v>424.69589152302473</v>
      </c>
    </row>
    <row r="40" spans="1:11" x14ac:dyDescent="0.25">
      <c r="A40">
        <v>27.47</v>
      </c>
      <c r="B40">
        <v>443.25</v>
      </c>
      <c r="G40" s="51">
        <f t="shared" si="0"/>
        <v>415.20417731302001</v>
      </c>
      <c r="H40" s="51">
        <f t="shared" si="1"/>
        <v>-41.497162893165523</v>
      </c>
      <c r="I40" s="51">
        <f t="shared" si="2"/>
        <v>1722.0145281819136</v>
      </c>
      <c r="K40" s="8">
        <f t="shared" si="3"/>
        <v>786.56817018952142</v>
      </c>
    </row>
    <row r="41" spans="1:11" x14ac:dyDescent="0.25">
      <c r="A41">
        <v>14.6</v>
      </c>
      <c r="B41">
        <v>464.16</v>
      </c>
      <c r="G41" s="51">
        <f t="shared" si="0"/>
        <v>444.18175366359998</v>
      </c>
      <c r="H41" s="51">
        <f t="shared" si="1"/>
        <v>-12.519586542585557</v>
      </c>
      <c r="I41" s="51">
        <f t="shared" si="2"/>
        <v>156.74004719728939</v>
      </c>
      <c r="K41" s="8">
        <f t="shared" si="3"/>
        <v>399.13032667788195</v>
      </c>
    </row>
    <row r="42" spans="1:11" x14ac:dyDescent="0.25">
      <c r="A42">
        <v>7.91</v>
      </c>
      <c r="B42">
        <v>475.52</v>
      </c>
      <c r="G42" s="51">
        <f t="shared" si="0"/>
        <v>459.24468962205998</v>
      </c>
      <c r="H42" s="51">
        <f t="shared" si="1"/>
        <v>2.5433494158744452</v>
      </c>
      <c r="I42" s="51">
        <f t="shared" si="2"/>
        <v>6.4686262512288817</v>
      </c>
      <c r="K42" s="8">
        <f t="shared" si="3"/>
        <v>264.88572789828152</v>
      </c>
    </row>
    <row r="43" spans="1:11" x14ac:dyDescent="0.25">
      <c r="A43">
        <v>5.81</v>
      </c>
      <c r="B43">
        <v>484.41</v>
      </c>
      <c r="G43" s="51">
        <f t="shared" si="0"/>
        <v>463.97296548345997</v>
      </c>
      <c r="H43" s="51">
        <f t="shared" si="1"/>
        <v>7.2716252772744383</v>
      </c>
      <c r="I43" s="51">
        <f t="shared" si="2"/>
        <v>52.876534173096552</v>
      </c>
      <c r="K43" s="8">
        <f t="shared" si="3"/>
        <v>417.6723798302495</v>
      </c>
    </row>
    <row r="44" spans="1:11" x14ac:dyDescent="0.25">
      <c r="A44">
        <v>30.53</v>
      </c>
      <c r="B44">
        <v>437.89</v>
      </c>
      <c r="G44" s="51">
        <f t="shared" si="0"/>
        <v>408.31440391498001</v>
      </c>
      <c r="H44" s="51">
        <f t="shared" si="1"/>
        <v>-48.386936291205529</v>
      </c>
      <c r="I44" s="51">
        <f t="shared" si="2"/>
        <v>2341.2956036491828</v>
      </c>
      <c r="K44" s="8">
        <f t="shared" si="3"/>
        <v>874.71588378424929</v>
      </c>
    </row>
    <row r="45" spans="1:11" x14ac:dyDescent="0.25">
      <c r="A45">
        <v>23.87</v>
      </c>
      <c r="B45">
        <v>445.11</v>
      </c>
      <c r="G45" s="51">
        <f t="shared" si="0"/>
        <v>423.30979307541998</v>
      </c>
      <c r="H45" s="51">
        <f t="shared" si="1"/>
        <v>-33.391547130765559</v>
      </c>
      <c r="I45" s="51">
        <f t="shared" si="2"/>
        <v>1114.9954197861377</v>
      </c>
      <c r="K45" s="8">
        <f t="shared" si="3"/>
        <v>475.24902195450744</v>
      </c>
    </row>
    <row r="46" spans="1:11" x14ac:dyDescent="0.25">
      <c r="A46">
        <v>26.09</v>
      </c>
      <c r="B46">
        <v>438.86</v>
      </c>
      <c r="G46" s="51">
        <f t="shared" si="0"/>
        <v>418.31133002193997</v>
      </c>
      <c r="H46" s="51">
        <f t="shared" si="1"/>
        <v>-38.390010184245568</v>
      </c>
      <c r="I46" s="51">
        <f t="shared" si="2"/>
        <v>1473.7928819464785</v>
      </c>
      <c r="K46" s="8">
        <f t="shared" si="3"/>
        <v>422.24783786722634</v>
      </c>
    </row>
    <row r="47" spans="1:11" x14ac:dyDescent="0.25">
      <c r="A47">
        <v>29.27</v>
      </c>
      <c r="B47">
        <v>440.98</v>
      </c>
      <c r="G47" s="51">
        <f t="shared" si="0"/>
        <v>411.15136943182</v>
      </c>
      <c r="H47" s="51">
        <f t="shared" si="1"/>
        <v>-45.549970774365534</v>
      </c>
      <c r="I47" s="51">
        <f t="shared" si="2"/>
        <v>2074.7998375455541</v>
      </c>
      <c r="K47" s="8">
        <f t="shared" si="3"/>
        <v>889.74720157296338</v>
      </c>
    </row>
    <row r="48" spans="1:11" x14ac:dyDescent="0.25">
      <c r="A48">
        <v>27.38</v>
      </c>
      <c r="B48">
        <v>436.65</v>
      </c>
      <c r="G48" s="51">
        <f t="shared" si="0"/>
        <v>415.40681770707999</v>
      </c>
      <c r="H48" s="51">
        <f t="shared" si="1"/>
        <v>-41.29452249910554</v>
      </c>
      <c r="I48" s="51">
        <f t="shared" si="2"/>
        <v>1705.2375884291337</v>
      </c>
      <c r="K48" s="8">
        <f t="shared" si="3"/>
        <v>451.27279393022911</v>
      </c>
    </row>
    <row r="49" spans="1:11" x14ac:dyDescent="0.25">
      <c r="A49">
        <v>24.81</v>
      </c>
      <c r="B49">
        <v>444.26</v>
      </c>
      <c r="G49" s="51">
        <f t="shared" si="0"/>
        <v>421.19332673745998</v>
      </c>
      <c r="H49" s="51">
        <f t="shared" si="1"/>
        <v>-35.508013468725551</v>
      </c>
      <c r="I49" s="51">
        <f t="shared" si="2"/>
        <v>1260.8190204951952</v>
      </c>
      <c r="K49" s="8">
        <f t="shared" si="3"/>
        <v>532.07141540077805</v>
      </c>
    </row>
    <row r="50" spans="1:11" x14ac:dyDescent="0.25">
      <c r="A50">
        <v>12.75</v>
      </c>
      <c r="B50">
        <v>465.86</v>
      </c>
      <c r="G50" s="51">
        <f t="shared" si="0"/>
        <v>448.34713954149998</v>
      </c>
      <c r="H50" s="51">
        <f t="shared" si="1"/>
        <v>-8.3542006646855498</v>
      </c>
      <c r="I50" s="51">
        <f t="shared" si="2"/>
        <v>69.792668745832486</v>
      </c>
      <c r="K50" s="8">
        <f t="shared" si="3"/>
        <v>306.70028143889385</v>
      </c>
    </row>
    <row r="51" spans="1:11" x14ac:dyDescent="0.25">
      <c r="A51">
        <v>24.66</v>
      </c>
      <c r="B51">
        <v>444.37</v>
      </c>
      <c r="G51" s="51">
        <f t="shared" si="0"/>
        <v>421.53106072755998</v>
      </c>
      <c r="H51" s="51">
        <f t="shared" si="1"/>
        <v>-35.170279478625559</v>
      </c>
      <c r="I51" s="51">
        <f t="shared" si="2"/>
        <v>1236.9485586046301</v>
      </c>
      <c r="K51" s="8">
        <f t="shared" si="3"/>
        <v>521.6171470902035</v>
      </c>
    </row>
    <row r="52" spans="1:11" x14ac:dyDescent="0.25">
      <c r="A52">
        <v>16.38</v>
      </c>
      <c r="B52">
        <v>450.69</v>
      </c>
      <c r="G52" s="51">
        <f t="shared" si="0"/>
        <v>440.17397698107999</v>
      </c>
      <c r="H52" s="51">
        <f t="shared" si="1"/>
        <v>-16.527363225105546</v>
      </c>
      <c r="I52" s="51">
        <f t="shared" si="2"/>
        <v>273.15373517457118</v>
      </c>
      <c r="K52" s="8">
        <f t="shared" si="3"/>
        <v>110.58674013445551</v>
      </c>
    </row>
    <row r="53" spans="1:11" x14ac:dyDescent="0.25">
      <c r="A53">
        <v>13.91</v>
      </c>
      <c r="B53">
        <v>469.02</v>
      </c>
      <c r="G53" s="51">
        <f t="shared" si="0"/>
        <v>445.73533001805998</v>
      </c>
      <c r="H53" s="51">
        <f t="shared" si="1"/>
        <v>-10.966010188125551</v>
      </c>
      <c r="I53" s="51">
        <f t="shared" si="2"/>
        <v>120.2533794460734</v>
      </c>
      <c r="K53" s="8">
        <f t="shared" si="3"/>
        <v>542.17585616785766</v>
      </c>
    </row>
    <row r="54" spans="1:11" x14ac:dyDescent="0.25">
      <c r="A54">
        <v>23.18</v>
      </c>
      <c r="B54">
        <v>448.86</v>
      </c>
      <c r="G54" s="51">
        <f t="shared" si="0"/>
        <v>424.86336942987998</v>
      </c>
      <c r="H54" s="51">
        <f t="shared" si="1"/>
        <v>-31.837970776305553</v>
      </c>
      <c r="I54" s="51">
        <f t="shared" si="2"/>
        <v>1013.6563831528864</v>
      </c>
      <c r="K54" s="8">
        <f t="shared" si="3"/>
        <v>575.83827871881931</v>
      </c>
    </row>
    <row r="55" spans="1:11" x14ac:dyDescent="0.25">
      <c r="A55">
        <v>22.47</v>
      </c>
      <c r="B55">
        <v>447.14</v>
      </c>
      <c r="G55" s="51">
        <f t="shared" si="0"/>
        <v>426.46197698302001</v>
      </c>
      <c r="H55" s="51">
        <f t="shared" si="1"/>
        <v>-30.239363223165526</v>
      </c>
      <c r="I55" s="51">
        <f t="shared" si="2"/>
        <v>914.41908814253577</v>
      </c>
      <c r="K55" s="8">
        <f t="shared" si="3"/>
        <v>427.58063589075374</v>
      </c>
    </row>
    <row r="56" spans="1:11" x14ac:dyDescent="0.25">
      <c r="A56">
        <v>13.39</v>
      </c>
      <c r="B56">
        <v>469.18</v>
      </c>
      <c r="G56" s="51">
        <f t="shared" si="0"/>
        <v>446.90614118373998</v>
      </c>
      <c r="H56" s="51">
        <f t="shared" si="1"/>
        <v>-9.7951990224455585</v>
      </c>
      <c r="I56" s="51">
        <f t="shared" si="2"/>
        <v>95.945923889318422</v>
      </c>
      <c r="K56" s="8">
        <f t="shared" si="3"/>
        <v>496.12478656668469</v>
      </c>
    </row>
    <row r="57" spans="1:11" x14ac:dyDescent="0.25">
      <c r="A57">
        <v>9.2799999999999994</v>
      </c>
      <c r="B57">
        <v>482.8</v>
      </c>
      <c r="G57" s="51">
        <f t="shared" si="0"/>
        <v>456.16005251247998</v>
      </c>
      <c r="H57" s="51">
        <f t="shared" si="1"/>
        <v>-0.54128769370555574</v>
      </c>
      <c r="I57" s="51">
        <f t="shared" si="2"/>
        <v>0.29299236735707951</v>
      </c>
      <c r="K57" s="8">
        <f t="shared" si="3"/>
        <v>709.68680213782488</v>
      </c>
    </row>
    <row r="58" spans="1:11" x14ac:dyDescent="0.25">
      <c r="A58">
        <v>11.82</v>
      </c>
      <c r="B58">
        <v>476.7</v>
      </c>
      <c r="G58" s="51">
        <f t="shared" si="0"/>
        <v>450.44109028011997</v>
      </c>
      <c r="H58" s="51">
        <f t="shared" si="1"/>
        <v>-6.2602499260655691</v>
      </c>
      <c r="I58" s="51">
        <f t="shared" si="2"/>
        <v>39.190729136803967</v>
      </c>
      <c r="K58" s="8">
        <f t="shared" si="3"/>
        <v>689.5303396768096</v>
      </c>
    </row>
    <row r="59" spans="1:11" x14ac:dyDescent="0.25">
      <c r="A59">
        <v>10.27</v>
      </c>
      <c r="B59">
        <v>474.99</v>
      </c>
      <c r="G59" s="51">
        <f t="shared" si="0"/>
        <v>453.93100817781999</v>
      </c>
      <c r="H59" s="51">
        <f t="shared" si="1"/>
        <v>-2.7703320283655444</v>
      </c>
      <c r="I59" s="51">
        <f t="shared" si="2"/>
        <v>7.6747395473879516</v>
      </c>
      <c r="K59" s="8">
        <f t="shared" si="3"/>
        <v>443.48113656664492</v>
      </c>
    </row>
    <row r="60" spans="1:11" x14ac:dyDescent="0.25">
      <c r="A60">
        <v>22.92</v>
      </c>
      <c r="B60">
        <v>444.22</v>
      </c>
      <c r="G60" s="51">
        <f t="shared" si="0"/>
        <v>425.44877501271998</v>
      </c>
      <c r="H60" s="51">
        <f t="shared" si="1"/>
        <v>-31.252565193465557</v>
      </c>
      <c r="I60" s="51">
        <f t="shared" si="2"/>
        <v>976.72283117181485</v>
      </c>
      <c r="K60" s="8">
        <f t="shared" si="3"/>
        <v>352.35888752308693</v>
      </c>
    </row>
    <row r="61" spans="1:11" x14ac:dyDescent="0.25">
      <c r="A61">
        <v>16</v>
      </c>
      <c r="B61">
        <v>461.33</v>
      </c>
      <c r="G61" s="51">
        <f t="shared" si="0"/>
        <v>441.029569756</v>
      </c>
      <c r="H61" s="51">
        <f t="shared" si="1"/>
        <v>-15.671770450185534</v>
      </c>
      <c r="I61" s="51">
        <f t="shared" si="2"/>
        <v>245.60438904330849</v>
      </c>
      <c r="K61" s="8">
        <f t="shared" si="3"/>
        <v>412.10746809150925</v>
      </c>
    </row>
    <row r="62" spans="1:11" x14ac:dyDescent="0.25">
      <c r="A62">
        <v>21.22</v>
      </c>
      <c r="B62">
        <v>448.06</v>
      </c>
      <c r="G62" s="51">
        <f t="shared" si="0"/>
        <v>429.27642690051999</v>
      </c>
      <c r="H62" s="51">
        <f t="shared" si="1"/>
        <v>-27.424913305665541</v>
      </c>
      <c r="I62" s="51">
        <f t="shared" si="2"/>
        <v>752.12586982327082</v>
      </c>
      <c r="K62" s="8">
        <f t="shared" si="3"/>
        <v>352.822618383509</v>
      </c>
    </row>
    <row r="63" spans="1:11" x14ac:dyDescent="0.25">
      <c r="A63">
        <v>13.46</v>
      </c>
      <c r="B63">
        <v>474.6</v>
      </c>
      <c r="G63" s="51">
        <f t="shared" si="0"/>
        <v>446.74853198836001</v>
      </c>
      <c r="H63" s="51">
        <f t="shared" si="1"/>
        <v>-9.9528082178255204</v>
      </c>
      <c r="I63" s="51">
        <f t="shared" si="2"/>
        <v>99.058391420815212</v>
      </c>
      <c r="K63" s="8">
        <f t="shared" si="3"/>
        <v>775.70427040340667</v>
      </c>
    </row>
    <row r="64" spans="1:11" x14ac:dyDescent="0.25">
      <c r="A64">
        <v>9.39</v>
      </c>
      <c r="B64">
        <v>473.05</v>
      </c>
      <c r="G64" s="51">
        <f t="shared" si="0"/>
        <v>455.91238091973997</v>
      </c>
      <c r="H64" s="51">
        <f t="shared" si="1"/>
        <v>-0.78895928644556079</v>
      </c>
      <c r="I64" s="51">
        <f t="shared" si="2"/>
        <v>0.62245675566868841</v>
      </c>
      <c r="K64" s="8">
        <f t="shared" si="3"/>
        <v>293.69798774009291</v>
      </c>
    </row>
    <row r="65" spans="1:11" x14ac:dyDescent="0.25">
      <c r="A65">
        <v>31.07</v>
      </c>
      <c r="B65">
        <v>432.06</v>
      </c>
      <c r="G65" s="51">
        <f t="shared" si="0"/>
        <v>407.09856155061999</v>
      </c>
      <c r="H65" s="51">
        <f t="shared" si="1"/>
        <v>-49.602778655565544</v>
      </c>
      <c r="I65" s="51">
        <f t="shared" si="2"/>
        <v>2460.4356503530289</v>
      </c>
      <c r="K65" s="8">
        <f t="shared" si="3"/>
        <v>623.07340946218676</v>
      </c>
    </row>
    <row r="66" spans="1:11" x14ac:dyDescent="0.25">
      <c r="A66">
        <v>12.82</v>
      </c>
      <c r="B66">
        <v>467.41</v>
      </c>
      <c r="G66" s="51">
        <f t="shared" si="0"/>
        <v>448.18953034611997</v>
      </c>
      <c r="H66" s="51">
        <f t="shared" si="1"/>
        <v>-8.5118098600655685</v>
      </c>
      <c r="I66" s="51">
        <f t="shared" si="2"/>
        <v>72.450907093909436</v>
      </c>
      <c r="K66" s="8">
        <f t="shared" si="3"/>
        <v>369.42645371572422</v>
      </c>
    </row>
    <row r="67" spans="1:11" x14ac:dyDescent="0.25">
      <c r="A67">
        <v>32.57</v>
      </c>
      <c r="B67">
        <v>430.12</v>
      </c>
      <c r="G67" s="51">
        <f t="shared" si="0"/>
        <v>403.72122164962002</v>
      </c>
      <c r="H67" s="51">
        <f t="shared" si="1"/>
        <v>-52.980118556565515</v>
      </c>
      <c r="I67" s="51">
        <f t="shared" si="2"/>
        <v>2806.8929622677374</v>
      </c>
      <c r="K67" s="8">
        <f t="shared" si="3"/>
        <v>696.89549839249094</v>
      </c>
    </row>
    <row r="68" spans="1:11" x14ac:dyDescent="0.25">
      <c r="A68">
        <v>8.11</v>
      </c>
      <c r="B68">
        <v>473.62</v>
      </c>
      <c r="G68" s="51">
        <f t="shared" si="0"/>
        <v>458.79437763525999</v>
      </c>
      <c r="H68" s="51">
        <f t="shared" si="1"/>
        <v>2.0930374290744567</v>
      </c>
      <c r="I68" s="51">
        <f t="shared" si="2"/>
        <v>4.3808056795066115</v>
      </c>
      <c r="K68" s="8">
        <f t="shared" si="3"/>
        <v>219.79907850187928</v>
      </c>
    </row>
    <row r="69" spans="1:11" x14ac:dyDescent="0.25">
      <c r="A69">
        <v>13.92</v>
      </c>
      <c r="B69">
        <v>471.81</v>
      </c>
      <c r="G69" s="51">
        <f t="shared" si="0"/>
        <v>445.71281441871997</v>
      </c>
      <c r="H69" s="51">
        <f t="shared" si="1"/>
        <v>-10.988525787465562</v>
      </c>
      <c r="I69" s="51">
        <f t="shared" si="2"/>
        <v>120.74769898179565</v>
      </c>
      <c r="K69" s="8">
        <f t="shared" si="3"/>
        <v>681.06309526377026</v>
      </c>
    </row>
    <row r="70" spans="1:11" x14ac:dyDescent="0.25">
      <c r="A70">
        <v>23.04</v>
      </c>
      <c r="B70">
        <v>442.99</v>
      </c>
      <c r="G70" s="51">
        <f t="shared" si="0"/>
        <v>425.17858782064002</v>
      </c>
      <c r="H70" s="51">
        <f t="shared" si="1"/>
        <v>-31.522752385545516</v>
      </c>
      <c r="I70" s="51">
        <f t="shared" si="2"/>
        <v>993.68391796041556</v>
      </c>
      <c r="K70" s="8">
        <f t="shared" si="3"/>
        <v>317.24640382305341</v>
      </c>
    </row>
    <row r="71" spans="1:11" x14ac:dyDescent="0.25">
      <c r="A71">
        <v>27.31</v>
      </c>
      <c r="B71">
        <v>442.77</v>
      </c>
      <c r="G71" s="51">
        <f t="shared" si="0"/>
        <v>415.56442690246001</v>
      </c>
      <c r="H71" s="51">
        <f t="shared" si="1"/>
        <v>-41.136913303725521</v>
      </c>
      <c r="I71" s="51">
        <f t="shared" si="2"/>
        <v>1692.2456361582297</v>
      </c>
      <c r="K71" s="8">
        <f t="shared" si="3"/>
        <v>740.1432075655905</v>
      </c>
    </row>
    <row r="72" spans="1:11" x14ac:dyDescent="0.25">
      <c r="A72">
        <v>5.91</v>
      </c>
      <c r="B72">
        <v>491.49</v>
      </c>
      <c r="G72" s="51">
        <f t="shared" si="0"/>
        <v>463.74780949005998</v>
      </c>
      <c r="H72" s="51">
        <f t="shared" si="1"/>
        <v>7.046469283874444</v>
      </c>
      <c r="I72" s="51">
        <f t="shared" si="2"/>
        <v>49.652729368586023</v>
      </c>
      <c r="K72" s="8">
        <f t="shared" si="3"/>
        <v>769.62913428980664</v>
      </c>
    </row>
    <row r="73" spans="1:11" x14ac:dyDescent="0.25">
      <c r="A73">
        <v>25.26</v>
      </c>
      <c r="B73">
        <v>447.46</v>
      </c>
      <c r="G73" s="51">
        <f t="shared" si="0"/>
        <v>420.18012476716001</v>
      </c>
      <c r="H73" s="51">
        <f t="shared" si="1"/>
        <v>-36.521215439025525</v>
      </c>
      <c r="I73" s="51">
        <f t="shared" si="2"/>
        <v>1333.7991771437164</v>
      </c>
      <c r="K73" s="8">
        <f t="shared" si="3"/>
        <v>744.19159271931562</v>
      </c>
    </row>
    <row r="74" spans="1:11" x14ac:dyDescent="0.25">
      <c r="A74">
        <v>27.97</v>
      </c>
      <c r="B74">
        <v>446.11</v>
      </c>
      <c r="G74" s="51">
        <f t="shared" si="0"/>
        <v>414.07839734601998</v>
      </c>
      <c r="H74" s="51">
        <f t="shared" si="1"/>
        <v>-42.622942860165551</v>
      </c>
      <c r="I74" s="51">
        <f t="shared" si="2"/>
        <v>1816.7152580609375</v>
      </c>
      <c r="K74" s="8">
        <f t="shared" si="3"/>
        <v>1026.0235685824605</v>
      </c>
    </row>
    <row r="75" spans="1:11" x14ac:dyDescent="0.25">
      <c r="A75">
        <v>26.08</v>
      </c>
      <c r="B75">
        <v>442.44</v>
      </c>
      <c r="G75" s="51">
        <f t="shared" si="0"/>
        <v>418.33384562127998</v>
      </c>
      <c r="H75" s="51">
        <f t="shared" si="1"/>
        <v>-38.367494584905558</v>
      </c>
      <c r="I75" s="51">
        <f t="shared" si="2"/>
        <v>1472.0646407227573</v>
      </c>
      <c r="K75" s="8">
        <f t="shared" si="3"/>
        <v>581.10667893068239</v>
      </c>
    </row>
    <row r="76" spans="1:11" x14ac:dyDescent="0.25">
      <c r="A76">
        <v>29.01</v>
      </c>
      <c r="B76">
        <v>446.22</v>
      </c>
      <c r="G76" s="51">
        <f t="shared" si="0"/>
        <v>411.73677501466</v>
      </c>
      <c r="H76" s="51">
        <f t="shared" si="1"/>
        <v>-44.964565191525537</v>
      </c>
      <c r="I76" s="51">
        <f t="shared" si="2"/>
        <v>2021.81212286295</v>
      </c>
      <c r="K76" s="8">
        <f t="shared" si="3"/>
        <v>1189.0928053895789</v>
      </c>
    </row>
    <row r="77" spans="1:11" x14ac:dyDescent="0.25">
      <c r="A77">
        <v>12.18</v>
      </c>
      <c r="B77">
        <v>471.49</v>
      </c>
      <c r="G77" s="51">
        <f t="shared" si="0"/>
        <v>449.63052870387997</v>
      </c>
      <c r="H77" s="51">
        <f t="shared" si="1"/>
        <v>-7.0708115023055598</v>
      </c>
      <c r="I77" s="51">
        <f t="shared" si="2"/>
        <v>49.996375301136609</v>
      </c>
      <c r="K77" s="8">
        <f t="shared" si="3"/>
        <v>477.83648534589571</v>
      </c>
    </row>
    <row r="78" spans="1:11" x14ac:dyDescent="0.25">
      <c r="A78">
        <v>13.76</v>
      </c>
      <c r="B78">
        <v>463.5</v>
      </c>
      <c r="G78" s="51">
        <f t="shared" si="0"/>
        <v>446.07306400815997</v>
      </c>
      <c r="H78" s="51">
        <f t="shared" si="1"/>
        <v>-10.62827619802556</v>
      </c>
      <c r="I78" s="51">
        <f t="shared" si="2"/>
        <v>112.96025494151665</v>
      </c>
      <c r="K78" s="8">
        <f t="shared" si="3"/>
        <v>303.69809806368932</v>
      </c>
    </row>
    <row r="79" spans="1:11" x14ac:dyDescent="0.25">
      <c r="A79">
        <v>25.5</v>
      </c>
      <c r="B79">
        <v>440.01</v>
      </c>
      <c r="G79" s="51">
        <f t="shared" si="0"/>
        <v>419.63975038299998</v>
      </c>
      <c r="H79" s="51">
        <f t="shared" si="1"/>
        <v>-37.061589823185557</v>
      </c>
      <c r="I79" s="51">
        <f t="shared" si="2"/>
        <v>1373.5614402220513</v>
      </c>
      <c r="K79" s="8">
        <f t="shared" si="3"/>
        <v>414.94706945888919</v>
      </c>
    </row>
    <row r="80" spans="1:11" x14ac:dyDescent="0.25">
      <c r="A80">
        <v>28.26</v>
      </c>
      <c r="B80">
        <v>441.03</v>
      </c>
      <c r="G80" s="51">
        <f t="shared" ref="G80:G111" si="4">-2.251559934*($A80)+477.0545287</f>
        <v>413.42544496516001</v>
      </c>
      <c r="H80" s="51">
        <f t="shared" ref="H80:H111" si="5">G80-$E$30</f>
        <v>-43.275895241025523</v>
      </c>
      <c r="I80" s="51">
        <f t="shared" ref="I80:I111" si="6">H80^2</f>
        <v>1872.8031089122155</v>
      </c>
      <c r="K80" s="8">
        <f t="shared" ref="K80:K111" si="7">(B80-G80)^2</f>
        <v>762.01145867150831</v>
      </c>
    </row>
    <row r="81" spans="1:11" x14ac:dyDescent="0.25">
      <c r="A81">
        <v>21.39</v>
      </c>
      <c r="B81">
        <v>452.68</v>
      </c>
      <c r="G81" s="51">
        <f t="shared" si="4"/>
        <v>428.89366171173998</v>
      </c>
      <c r="H81" s="51">
        <f t="shared" si="5"/>
        <v>-27.807678494445554</v>
      </c>
      <c r="I81" s="51">
        <f t="shared" si="6"/>
        <v>773.2669832504497</v>
      </c>
      <c r="K81" s="8">
        <f t="shared" si="7"/>
        <v>565.7898891635449</v>
      </c>
    </row>
    <row r="82" spans="1:11" x14ac:dyDescent="0.25">
      <c r="A82">
        <v>7.26</v>
      </c>
      <c r="B82">
        <v>474.91</v>
      </c>
      <c r="G82" s="51">
        <f t="shared" si="4"/>
        <v>460.70820357916</v>
      </c>
      <c r="H82" s="51">
        <f t="shared" si="5"/>
        <v>4.0068633729744647</v>
      </c>
      <c r="I82" s="51">
        <f t="shared" si="6"/>
        <v>16.054954089684305</v>
      </c>
      <c r="K82" s="8">
        <f t="shared" si="7"/>
        <v>201.69102157898456</v>
      </c>
    </row>
    <row r="83" spans="1:11" x14ac:dyDescent="0.25">
      <c r="A83">
        <v>10.54</v>
      </c>
      <c r="B83">
        <v>478.77</v>
      </c>
      <c r="G83" s="51">
        <f t="shared" si="4"/>
        <v>453.32308699563998</v>
      </c>
      <c r="H83" s="51">
        <f t="shared" si="5"/>
        <v>-3.3782532105455516</v>
      </c>
      <c r="I83" s="51">
        <f t="shared" si="6"/>
        <v>11.412594754561328</v>
      </c>
      <c r="K83" s="8">
        <f t="shared" si="7"/>
        <v>647.54538145146603</v>
      </c>
    </row>
    <row r="84" spans="1:11" x14ac:dyDescent="0.25">
      <c r="A84">
        <v>27.71</v>
      </c>
      <c r="B84">
        <v>434.2</v>
      </c>
      <c r="G84" s="51">
        <f t="shared" si="4"/>
        <v>414.66380292885998</v>
      </c>
      <c r="H84" s="51">
        <f t="shared" si="5"/>
        <v>-42.037537277325555</v>
      </c>
      <c r="I84" s="51">
        <f t="shared" si="6"/>
        <v>1767.1545403425357</v>
      </c>
      <c r="K84" s="8">
        <f t="shared" si="7"/>
        <v>381.66299600241945</v>
      </c>
    </row>
    <row r="85" spans="1:11" x14ac:dyDescent="0.25">
      <c r="A85">
        <v>23.11</v>
      </c>
      <c r="B85">
        <v>437.91</v>
      </c>
      <c r="G85" s="51">
        <f t="shared" si="4"/>
        <v>425.02097862526</v>
      </c>
      <c r="H85" s="51">
        <f t="shared" si="5"/>
        <v>-31.680361580925535</v>
      </c>
      <c r="I85" s="51">
        <f t="shared" si="6"/>
        <v>1003.6453098981826</v>
      </c>
      <c r="K85" s="8">
        <f t="shared" si="7"/>
        <v>166.12687199850527</v>
      </c>
    </row>
    <row r="86" spans="1:11" x14ac:dyDescent="0.25">
      <c r="A86">
        <v>7.51</v>
      </c>
      <c r="B86">
        <v>477.61</v>
      </c>
      <c r="G86" s="51">
        <f t="shared" si="4"/>
        <v>460.14531359566001</v>
      </c>
      <c r="H86" s="51">
        <f t="shared" si="5"/>
        <v>3.4439733894744791</v>
      </c>
      <c r="I86" s="51">
        <f t="shared" si="6"/>
        <v>11.860952707408332</v>
      </c>
      <c r="K86" s="8">
        <f t="shared" si="7"/>
        <v>305.01527120193845</v>
      </c>
    </row>
    <row r="87" spans="1:11" x14ac:dyDescent="0.25">
      <c r="A87">
        <v>26.46</v>
      </c>
      <c r="B87">
        <v>431.65</v>
      </c>
      <c r="G87" s="51">
        <f t="shared" si="4"/>
        <v>417.47825284635996</v>
      </c>
      <c r="H87" s="51">
        <f t="shared" si="5"/>
        <v>-39.22308735982557</v>
      </c>
      <c r="I87" s="51">
        <f t="shared" si="6"/>
        <v>1538.4505820365084</v>
      </c>
      <c r="K87" s="8">
        <f t="shared" si="7"/>
        <v>200.83841738670381</v>
      </c>
    </row>
    <row r="88" spans="1:11" x14ac:dyDescent="0.25">
      <c r="A88">
        <v>29.34</v>
      </c>
      <c r="B88">
        <v>430.57</v>
      </c>
      <c r="G88" s="51">
        <f t="shared" si="4"/>
        <v>410.99376023643998</v>
      </c>
      <c r="H88" s="51">
        <f t="shared" si="5"/>
        <v>-45.707579969745552</v>
      </c>
      <c r="I88" s="51">
        <f t="shared" si="6"/>
        <v>2089.1828666906849</v>
      </c>
      <c r="K88" s="8">
        <f t="shared" si="7"/>
        <v>383.22916328038809</v>
      </c>
    </row>
    <row r="89" spans="1:11" x14ac:dyDescent="0.25">
      <c r="A89">
        <v>10.32</v>
      </c>
      <c r="B89">
        <v>481.09</v>
      </c>
      <c r="G89" s="51">
        <f t="shared" si="4"/>
        <v>453.81843018111999</v>
      </c>
      <c r="H89" s="51">
        <f t="shared" si="5"/>
        <v>-2.8829100250655415</v>
      </c>
      <c r="I89" s="51">
        <f t="shared" si="6"/>
        <v>8.3111702126234004</v>
      </c>
      <c r="K89" s="8">
        <f t="shared" si="7"/>
        <v>743.73852038604548</v>
      </c>
    </row>
    <row r="90" spans="1:11" x14ac:dyDescent="0.25">
      <c r="A90">
        <v>22.74</v>
      </c>
      <c r="B90">
        <v>445.56</v>
      </c>
      <c r="G90" s="51">
        <f t="shared" si="4"/>
        <v>425.85405580084</v>
      </c>
      <c r="H90" s="51">
        <f t="shared" si="5"/>
        <v>-30.847284405345533</v>
      </c>
      <c r="I90" s="51">
        <f t="shared" si="6"/>
        <v>951.55495518427369</v>
      </c>
      <c r="K90" s="8">
        <f t="shared" si="7"/>
        <v>388.32423678040772</v>
      </c>
    </row>
    <row r="91" spans="1:11" x14ac:dyDescent="0.25">
      <c r="A91">
        <v>13.48</v>
      </c>
      <c r="B91">
        <v>475.74</v>
      </c>
      <c r="G91" s="51">
        <f t="shared" si="4"/>
        <v>446.70350078967999</v>
      </c>
      <c r="H91" s="51">
        <f t="shared" si="5"/>
        <v>-9.997839416505542</v>
      </c>
      <c r="I91" s="51">
        <f t="shared" si="6"/>
        <v>99.956792998231876</v>
      </c>
      <c r="K91" s="8">
        <f t="shared" si="7"/>
        <v>843.11828639091493</v>
      </c>
    </row>
    <row r="92" spans="1:11" x14ac:dyDescent="0.25">
      <c r="A92">
        <v>25.52</v>
      </c>
      <c r="B92">
        <v>435.12</v>
      </c>
      <c r="G92" s="51">
        <f t="shared" si="4"/>
        <v>419.59471918432001</v>
      </c>
      <c r="H92" s="51">
        <f t="shared" si="5"/>
        <v>-37.106621021865521</v>
      </c>
      <c r="I92" s="51">
        <f t="shared" si="6"/>
        <v>1376.9013236603523</v>
      </c>
      <c r="K92" s="8">
        <f t="shared" si="7"/>
        <v>241.03434440572119</v>
      </c>
    </row>
    <row r="93" spans="1:11" x14ac:dyDescent="0.25">
      <c r="A93">
        <v>21.58</v>
      </c>
      <c r="B93">
        <v>446.15</v>
      </c>
      <c r="G93" s="51">
        <f t="shared" si="4"/>
        <v>428.46586532428</v>
      </c>
      <c r="H93" s="51">
        <f t="shared" si="5"/>
        <v>-28.235474881905532</v>
      </c>
      <c r="I93" s="51">
        <f t="shared" si="6"/>
        <v>797.24204180671825</v>
      </c>
      <c r="K93" s="8">
        <f t="shared" si="7"/>
        <v>312.72861922900159</v>
      </c>
    </row>
    <row r="94" spans="1:11" x14ac:dyDescent="0.25">
      <c r="A94">
        <v>27.66</v>
      </c>
      <c r="B94">
        <v>436.64</v>
      </c>
      <c r="G94" s="51">
        <f t="shared" si="4"/>
        <v>414.77638092555998</v>
      </c>
      <c r="H94" s="51">
        <f t="shared" si="5"/>
        <v>-41.924959280625558</v>
      </c>
      <c r="I94" s="51">
        <f t="shared" si="6"/>
        <v>1757.7022106821112</v>
      </c>
      <c r="K94" s="8">
        <f t="shared" si="7"/>
        <v>478.01783903221701</v>
      </c>
    </row>
    <row r="95" spans="1:11" x14ac:dyDescent="0.25">
      <c r="A95">
        <v>26.96</v>
      </c>
      <c r="B95">
        <v>436.69</v>
      </c>
      <c r="G95" s="51">
        <f t="shared" si="4"/>
        <v>416.35247287935999</v>
      </c>
      <c r="H95" s="51">
        <f t="shared" si="5"/>
        <v>-40.348867326825541</v>
      </c>
      <c r="I95" s="51">
        <f t="shared" si="6"/>
        <v>1628.0310945577696</v>
      </c>
      <c r="K95" s="8">
        <f t="shared" si="7"/>
        <v>413.61500938276771</v>
      </c>
    </row>
    <row r="96" spans="1:11" x14ac:dyDescent="0.25">
      <c r="A96">
        <v>12.29</v>
      </c>
      <c r="B96">
        <v>468.75</v>
      </c>
      <c r="G96" s="51">
        <f t="shared" si="4"/>
        <v>449.38285711113997</v>
      </c>
      <c r="H96" s="51">
        <f t="shared" si="5"/>
        <v>-7.3184830950455648</v>
      </c>
      <c r="I96" s="51">
        <f t="shared" si="6"/>
        <v>53.560194812467707</v>
      </c>
      <c r="K96" s="8">
        <f t="shared" si="7"/>
        <v>375.08622367752162</v>
      </c>
    </row>
    <row r="97" spans="1:11" x14ac:dyDescent="0.25">
      <c r="A97">
        <v>15.86</v>
      </c>
      <c r="B97">
        <v>466.6</v>
      </c>
      <c r="G97" s="51">
        <f t="shared" si="4"/>
        <v>441.34478814675998</v>
      </c>
      <c r="H97" s="51">
        <f t="shared" si="5"/>
        <v>-15.356552059425553</v>
      </c>
      <c r="I97" s="51">
        <f t="shared" si="6"/>
        <v>235.82369115384719</v>
      </c>
      <c r="K97" s="8">
        <f t="shared" si="7"/>
        <v>637.82572575203631</v>
      </c>
    </row>
    <row r="98" spans="1:11" x14ac:dyDescent="0.25">
      <c r="A98">
        <v>13.87</v>
      </c>
      <c r="B98">
        <v>465.48</v>
      </c>
      <c r="G98" s="51">
        <f t="shared" si="4"/>
        <v>445.82539241541997</v>
      </c>
      <c r="H98" s="51">
        <f t="shared" si="5"/>
        <v>-10.875947790765565</v>
      </c>
      <c r="I98" s="51">
        <f t="shared" si="6"/>
        <v>118.28624034745837</v>
      </c>
      <c r="K98" s="8">
        <f t="shared" si="7"/>
        <v>386.30359930383156</v>
      </c>
    </row>
    <row r="99" spans="1:11" x14ac:dyDescent="0.25">
      <c r="A99">
        <v>24.09</v>
      </c>
      <c r="B99">
        <v>441.34</v>
      </c>
      <c r="G99" s="51">
        <f t="shared" si="4"/>
        <v>422.81444988993997</v>
      </c>
      <c r="H99" s="51">
        <f t="shared" si="5"/>
        <v>-33.886890316245569</v>
      </c>
      <c r="I99" s="51">
        <f t="shared" si="6"/>
        <v>1148.3213353052577</v>
      </c>
      <c r="K99" s="8">
        <f t="shared" si="7"/>
        <v>343.19600688034444</v>
      </c>
    </row>
    <row r="100" spans="1:11" x14ac:dyDescent="0.25">
      <c r="A100">
        <v>20.45</v>
      </c>
      <c r="B100">
        <v>441.83</v>
      </c>
      <c r="G100" s="51">
        <f t="shared" si="4"/>
        <v>431.01012804969997</v>
      </c>
      <c r="H100" s="51">
        <f t="shared" si="5"/>
        <v>-25.691212156485562</v>
      </c>
      <c r="I100" s="51">
        <f t="shared" si="6"/>
        <v>660.03838206955152</v>
      </c>
      <c r="K100" s="8">
        <f t="shared" si="7"/>
        <v>117.06962902088898</v>
      </c>
    </row>
    <row r="101" spans="1:11" x14ac:dyDescent="0.25">
      <c r="A101">
        <v>15.07</v>
      </c>
      <c r="B101">
        <v>464.7</v>
      </c>
      <c r="G101" s="51">
        <f t="shared" si="4"/>
        <v>443.12352049461998</v>
      </c>
      <c r="H101" s="51">
        <f t="shared" si="5"/>
        <v>-13.577819711565553</v>
      </c>
      <c r="I101" s="51">
        <f t="shared" si="6"/>
        <v>184.35718811977807</v>
      </c>
      <c r="K101" s="8">
        <f t="shared" si="7"/>
        <v>465.54446784608348</v>
      </c>
    </row>
    <row r="102" spans="1:11" x14ac:dyDescent="0.25">
      <c r="A102">
        <v>32.72</v>
      </c>
      <c r="B102">
        <v>437.99</v>
      </c>
      <c r="G102" s="51">
        <f t="shared" si="4"/>
        <v>403.38348765952003</v>
      </c>
      <c r="H102" s="51">
        <f t="shared" si="5"/>
        <v>-53.317852546665506</v>
      </c>
      <c r="I102" s="51">
        <f t="shared" si="6"/>
        <v>2842.7934001879653</v>
      </c>
      <c r="K102" s="8">
        <f t="shared" si="7"/>
        <v>1197.6106963717932</v>
      </c>
    </row>
    <row r="103" spans="1:11" x14ac:dyDescent="0.25">
      <c r="A103">
        <v>18.23</v>
      </c>
      <c r="B103">
        <v>459.12</v>
      </c>
      <c r="G103" s="51">
        <f t="shared" si="4"/>
        <v>436.00859110317998</v>
      </c>
      <c r="H103" s="51">
        <f t="shared" si="5"/>
        <v>-20.692749103005553</v>
      </c>
      <c r="I103" s="51">
        <f t="shared" si="6"/>
        <v>428.18986543993714</v>
      </c>
      <c r="K103" s="8">
        <f t="shared" si="7"/>
        <v>534.13722119601175</v>
      </c>
    </row>
    <row r="104" spans="1:11" x14ac:dyDescent="0.25">
      <c r="A104">
        <v>35.56</v>
      </c>
      <c r="B104">
        <v>429.69</v>
      </c>
      <c r="G104" s="51">
        <f t="shared" si="4"/>
        <v>396.98905744695998</v>
      </c>
      <c r="H104" s="51">
        <f t="shared" si="5"/>
        <v>-59.712282759225559</v>
      </c>
      <c r="I104" s="51">
        <f t="shared" si="6"/>
        <v>3565.5567123177061</v>
      </c>
      <c r="K104" s="8">
        <f t="shared" si="7"/>
        <v>1069.3516438572237</v>
      </c>
    </row>
    <row r="105" spans="1:11" x14ac:dyDescent="0.25">
      <c r="A105">
        <v>18.36</v>
      </c>
      <c r="B105">
        <v>459.8</v>
      </c>
      <c r="G105" s="51">
        <f t="shared" si="4"/>
        <v>435.71588831176001</v>
      </c>
      <c r="H105" s="51">
        <f t="shared" si="5"/>
        <v>-20.985451894425523</v>
      </c>
      <c r="I105" s="51">
        <f t="shared" si="6"/>
        <v>440.38919121324778</v>
      </c>
      <c r="K105" s="8">
        <f t="shared" si="7"/>
        <v>580.04443581161854</v>
      </c>
    </row>
    <row r="106" spans="1:11" x14ac:dyDescent="0.25">
      <c r="A106">
        <v>26.35</v>
      </c>
      <c r="B106">
        <v>433.63</v>
      </c>
      <c r="G106" s="51">
        <f t="shared" si="4"/>
        <v>417.72592443909997</v>
      </c>
      <c r="H106" s="51">
        <f t="shared" si="5"/>
        <v>-38.975415767085565</v>
      </c>
      <c r="I106" s="51">
        <f t="shared" si="6"/>
        <v>1519.0830342171821</v>
      </c>
      <c r="K106" s="8">
        <f t="shared" si="7"/>
        <v>252.93961944681746</v>
      </c>
    </row>
    <row r="107" spans="1:11" x14ac:dyDescent="0.25">
      <c r="A107">
        <v>25.92</v>
      </c>
      <c r="B107">
        <v>442.84</v>
      </c>
      <c r="G107" s="51">
        <f t="shared" si="4"/>
        <v>418.69409521071998</v>
      </c>
      <c r="H107" s="51">
        <f t="shared" si="5"/>
        <v>-38.007244995465555</v>
      </c>
      <c r="I107" s="51">
        <f t="shared" si="6"/>
        <v>1444.5506721453414</v>
      </c>
      <c r="K107" s="8">
        <f t="shared" si="7"/>
        <v>583.02471809297469</v>
      </c>
    </row>
    <row r="108" spans="1:11" x14ac:dyDescent="0.25">
      <c r="A108">
        <v>8.01</v>
      </c>
      <c r="B108">
        <v>485.13</v>
      </c>
      <c r="G108" s="51">
        <f t="shared" si="4"/>
        <v>459.01953362865999</v>
      </c>
      <c r="H108" s="51">
        <f t="shared" si="5"/>
        <v>2.3181934224744509</v>
      </c>
      <c r="I108" s="51">
        <f t="shared" si="6"/>
        <v>5.3740207440038077</v>
      </c>
      <c r="K108" s="8">
        <f t="shared" si="7"/>
        <v>681.75645412887752</v>
      </c>
    </row>
    <row r="109" spans="1:11" x14ac:dyDescent="0.25">
      <c r="A109">
        <v>19.63</v>
      </c>
      <c r="B109">
        <v>459.12</v>
      </c>
      <c r="G109" s="51">
        <f t="shared" si="4"/>
        <v>432.85640719558</v>
      </c>
      <c r="H109" s="51">
        <f t="shared" si="5"/>
        <v>-23.84493301060553</v>
      </c>
      <c r="I109" s="51">
        <f t="shared" si="6"/>
        <v>568.58083028026533</v>
      </c>
      <c r="K109" s="8">
        <f t="shared" si="7"/>
        <v>689.776306996382</v>
      </c>
    </row>
    <row r="110" spans="1:11" x14ac:dyDescent="0.25">
      <c r="A110">
        <v>20.02</v>
      </c>
      <c r="B110">
        <v>445.31</v>
      </c>
      <c r="G110" s="51">
        <f t="shared" si="4"/>
        <v>431.97829882131998</v>
      </c>
      <c r="H110" s="51">
        <f t="shared" si="5"/>
        <v>-24.723041384865553</v>
      </c>
      <c r="I110" s="51">
        <f t="shared" si="6"/>
        <v>611.22877531777488</v>
      </c>
      <c r="K110" s="8">
        <f t="shared" si="7"/>
        <v>177.73425631761825</v>
      </c>
    </row>
    <row r="111" spans="1:11" x14ac:dyDescent="0.25">
      <c r="A111">
        <v>10.08</v>
      </c>
      <c r="B111">
        <v>480.8</v>
      </c>
      <c r="G111" s="51">
        <f t="shared" si="4"/>
        <v>454.35880456527997</v>
      </c>
      <c r="H111" s="51">
        <f t="shared" si="5"/>
        <v>-2.3425356409055667</v>
      </c>
      <c r="I111" s="51">
        <f t="shared" si="6"/>
        <v>5.4874732289128536</v>
      </c>
      <c r="K111" s="8">
        <f t="shared" si="7"/>
        <v>699.13681601706003</v>
      </c>
    </row>
  </sheetData>
  <mergeCells count="29">
    <mergeCell ref="E29:F29"/>
    <mergeCell ref="E30:F30"/>
    <mergeCell ref="E25:F25"/>
    <mergeCell ref="E14:F15"/>
    <mergeCell ref="E16:F18"/>
    <mergeCell ref="E19:F20"/>
    <mergeCell ref="E21:F23"/>
    <mergeCell ref="Q4:S4"/>
    <mergeCell ref="J5:M5"/>
    <mergeCell ref="N5:P5"/>
    <mergeCell ref="Q5:S5"/>
    <mergeCell ref="J2:M2"/>
    <mergeCell ref="N2:P2"/>
    <mergeCell ref="Q2:S2"/>
    <mergeCell ref="J3:M3"/>
    <mergeCell ref="N3:P3"/>
    <mergeCell ref="Q3:S3"/>
    <mergeCell ref="C11:P11"/>
    <mergeCell ref="A2:B2"/>
    <mergeCell ref="A3:B3"/>
    <mergeCell ref="A4:B4"/>
    <mergeCell ref="A5:B5"/>
    <mergeCell ref="A11:B11"/>
    <mergeCell ref="J4:M4"/>
    <mergeCell ref="N4:P4"/>
    <mergeCell ref="C2:E2"/>
    <mergeCell ref="C3:E3"/>
    <mergeCell ref="C4:E4"/>
    <mergeCell ref="C5:E5"/>
  </mergeCells>
  <phoneticPr fontId="3" type="noConversion"/>
  <pageMargins left="0.75" right="0.75" top="1" bottom="1" header="0.5" footer="0.5"/>
  <pageSetup scale="5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2"/>
  <sheetViews>
    <sheetView tabSelected="1" topLeftCell="C15" workbookViewId="0">
      <selection activeCell="Q23" sqref="Q23"/>
    </sheetView>
  </sheetViews>
  <sheetFormatPr defaultColWidth="10.6640625" defaultRowHeight="13.2" x14ac:dyDescent="0.25"/>
  <cols>
    <col min="7" max="8" width="11.5546875" bestFit="1" customWidth="1"/>
    <col min="9" max="11" width="11.5546875" customWidth="1"/>
    <col min="12" max="14" width="12.109375" customWidth="1"/>
    <col min="16" max="17" width="12.33203125" bestFit="1" customWidth="1"/>
  </cols>
  <sheetData>
    <row r="1" spans="1:26" s="1" customFormat="1" ht="17.25" customHeight="1" x14ac:dyDescent="0.3">
      <c r="A1" s="12" t="s">
        <v>5</v>
      </c>
      <c r="B1" s="1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</row>
    <row r="2" spans="1:26" s="1" customFormat="1" ht="17.25" customHeight="1" x14ac:dyDescent="0.25">
      <c r="A2" s="30" t="s">
        <v>16</v>
      </c>
      <c r="B2" s="31"/>
      <c r="C2" s="37" t="s">
        <v>17</v>
      </c>
      <c r="D2" s="37"/>
      <c r="E2" s="37"/>
      <c r="F2" s="20"/>
      <c r="G2" s="39"/>
      <c r="H2" s="39"/>
      <c r="I2" s="28"/>
      <c r="J2" s="28"/>
      <c r="K2" s="28"/>
      <c r="L2" s="28"/>
      <c r="M2" s="28"/>
      <c r="N2" s="28"/>
      <c r="O2" s="40" t="s">
        <v>17</v>
      </c>
      <c r="P2" s="40"/>
      <c r="Q2" s="40"/>
      <c r="R2" s="40" t="s">
        <v>18</v>
      </c>
      <c r="S2" s="40"/>
      <c r="T2" s="40"/>
    </row>
    <row r="3" spans="1:26" s="1" customFormat="1" ht="17.25" customHeight="1" x14ac:dyDescent="0.25">
      <c r="A3" s="30" t="s">
        <v>19</v>
      </c>
      <c r="B3" s="31"/>
      <c r="C3" s="37" t="s">
        <v>24</v>
      </c>
      <c r="D3" s="37"/>
      <c r="E3" s="37"/>
      <c r="F3" s="20"/>
      <c r="G3" s="35" t="s">
        <v>20</v>
      </c>
      <c r="H3" s="35"/>
      <c r="I3" s="27"/>
      <c r="J3" s="27"/>
      <c r="K3" s="27"/>
      <c r="L3" s="27"/>
      <c r="M3" s="27"/>
      <c r="N3" s="27"/>
      <c r="O3" s="36"/>
      <c r="P3" s="36"/>
      <c r="Q3" s="36"/>
      <c r="R3" s="38"/>
      <c r="S3" s="38"/>
      <c r="T3" s="38"/>
    </row>
    <row r="4" spans="1:26" s="1" customFormat="1" ht="17.25" customHeight="1" x14ac:dyDescent="0.25">
      <c r="A4" s="32" t="s">
        <v>21</v>
      </c>
      <c r="B4" s="33"/>
      <c r="C4" s="37" t="s">
        <v>25</v>
      </c>
      <c r="D4" s="37"/>
      <c r="E4" s="37"/>
      <c r="F4" s="20"/>
      <c r="G4" s="35" t="s">
        <v>22</v>
      </c>
      <c r="H4" s="35"/>
      <c r="I4" s="27"/>
      <c r="J4" s="27"/>
      <c r="K4" s="27"/>
      <c r="L4" s="27"/>
      <c r="M4" s="27"/>
      <c r="N4" s="27"/>
      <c r="O4" s="36"/>
      <c r="P4" s="36"/>
      <c r="Q4" s="36"/>
      <c r="R4" s="38"/>
      <c r="S4" s="38"/>
      <c r="T4" s="38"/>
    </row>
    <row r="5" spans="1:26" s="1" customFormat="1" ht="17.25" customHeight="1" x14ac:dyDescent="0.25">
      <c r="A5" s="32" t="s">
        <v>3</v>
      </c>
      <c r="B5" s="33"/>
      <c r="C5" s="37" t="s">
        <v>26</v>
      </c>
      <c r="D5" s="37"/>
      <c r="E5" s="37"/>
      <c r="F5" s="20"/>
      <c r="G5" s="35" t="s">
        <v>23</v>
      </c>
      <c r="H5" s="35"/>
      <c r="I5" s="27"/>
      <c r="J5" s="27"/>
      <c r="K5" s="27"/>
      <c r="L5" s="27"/>
      <c r="M5" s="27"/>
      <c r="N5" s="27"/>
      <c r="O5" s="36"/>
      <c r="P5" s="36"/>
      <c r="Q5" s="36"/>
      <c r="R5" s="38"/>
      <c r="S5" s="38"/>
      <c r="T5" s="38"/>
    </row>
    <row r="6" spans="1:26" s="1" customFormat="1" x14ac:dyDescent="0.25">
      <c r="A6" s="3"/>
      <c r="B6" s="3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6"/>
    </row>
    <row r="7" spans="1:26" s="1" customFormat="1" ht="14.4" x14ac:dyDescent="0.3">
      <c r="A7" s="21" t="s">
        <v>31</v>
      </c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6"/>
    </row>
    <row r="8" spans="1:26" s="1" customFormat="1" ht="14.4" x14ac:dyDescent="0.3">
      <c r="A8" s="21" t="s">
        <v>33</v>
      </c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6"/>
    </row>
    <row r="9" spans="1:26" s="1" customFormat="1" ht="14.4" x14ac:dyDescent="0.3">
      <c r="A9" s="21" t="s">
        <v>32</v>
      </c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6"/>
    </row>
    <row r="10" spans="1:26" s="1" customFormat="1" ht="14.4" x14ac:dyDescent="0.3">
      <c r="A10" s="11"/>
      <c r="B10" s="11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26" s="2" customFormat="1" ht="26.25" customHeight="1" x14ac:dyDescent="0.25">
      <c r="A11" s="34" t="s">
        <v>4</v>
      </c>
      <c r="B11" s="34"/>
      <c r="C11" s="29" t="s">
        <v>40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7"/>
    </row>
    <row r="12" spans="1:2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6" x14ac:dyDescent="0.25">
      <c r="A13" s="25" t="s">
        <v>2</v>
      </c>
      <c r="B13" s="25"/>
      <c r="C13" s="8"/>
      <c r="E13" s="23" t="s">
        <v>1</v>
      </c>
      <c r="F13" s="24"/>
      <c r="O13" s="25" t="s">
        <v>0</v>
      </c>
      <c r="P13" s="26"/>
      <c r="R13" s="8"/>
      <c r="U13" s="8"/>
      <c r="V13" s="8"/>
      <c r="W13" s="8"/>
    </row>
    <row r="14" spans="1:26" ht="26.4" x14ac:dyDescent="0.25">
      <c r="A14" t="s">
        <v>38</v>
      </c>
      <c r="B14" t="s">
        <v>39</v>
      </c>
      <c r="E14" t="s">
        <v>61</v>
      </c>
      <c r="F14" t="s">
        <v>62</v>
      </c>
      <c r="G14" s="61" t="s">
        <v>65</v>
      </c>
      <c r="H14" s="61" t="s">
        <v>66</v>
      </c>
      <c r="I14" s="61" t="s">
        <v>68</v>
      </c>
      <c r="J14" s="61" t="s">
        <v>69</v>
      </c>
      <c r="K14" s="61" t="s">
        <v>42</v>
      </c>
      <c r="L14" s="61" t="s">
        <v>49</v>
      </c>
      <c r="M14" s="61" t="s">
        <v>48</v>
      </c>
      <c r="N14" s="61" t="s">
        <v>43</v>
      </c>
      <c r="O14" s="62" t="s">
        <v>63</v>
      </c>
      <c r="P14" s="62">
        <f>((G15*H15)-F112)/((G15^2)-(E112^2))</f>
        <v>-6.9368745261081982E-4</v>
      </c>
    </row>
    <row r="15" spans="1:26" x14ac:dyDescent="0.25">
      <c r="A15">
        <v>14.96</v>
      </c>
      <c r="B15">
        <v>463.26</v>
      </c>
      <c r="E15">
        <f>A15^2</f>
        <v>223.80160000000004</v>
      </c>
      <c r="F15">
        <f>A15*B15</f>
        <v>6930.3696</v>
      </c>
      <c r="G15" s="61">
        <f>AVERAGE(A15:A111)</f>
        <v>19.109587628865977</v>
      </c>
      <c r="H15" s="61">
        <f>AVERAGE(B15:B111)</f>
        <v>456.70134020618553</v>
      </c>
      <c r="I15" s="61">
        <f>$P$14*A15+$P$15</f>
        <v>456.70421872305718</v>
      </c>
      <c r="J15" s="61">
        <f>(I15-$H$15)^2</f>
        <v>8.2858593803550061E-6</v>
      </c>
      <c r="K15" s="61">
        <f>SUM(J15:J111)</f>
        <v>2.7051685084001739E-3</v>
      </c>
      <c r="L15" s="61">
        <f>(B15-I15)^2</f>
        <v>42.978268151113895</v>
      </c>
      <c r="M15" s="61">
        <f>SUM(L15:L111)</f>
        <v>28454.963102423604</v>
      </c>
      <c r="N15" s="61">
        <f>K15+M15</f>
        <v>28454.965807592114</v>
      </c>
      <c r="O15" s="62" t="s">
        <v>64</v>
      </c>
      <c r="P15" s="62">
        <f>H15-P14*G15</f>
        <v>456.71459628734823</v>
      </c>
    </row>
    <row r="16" spans="1:26" x14ac:dyDescent="0.25">
      <c r="A16">
        <v>25.18</v>
      </c>
      <c r="B16">
        <v>444.37</v>
      </c>
      <c r="E16">
        <f>A16^2</f>
        <v>634.03239999999994</v>
      </c>
      <c r="F16">
        <f t="shared" ref="F16:F79" si="0">A16*B16</f>
        <v>11189.2366</v>
      </c>
      <c r="I16" s="61">
        <f t="shared" ref="I16:I79" si="1">$P$14*A16+$P$15</f>
        <v>456.69712923729151</v>
      </c>
      <c r="J16" s="61">
        <f t="shared" ref="J16:J79" si="2">(I16-$H$15)^2</f>
        <v>1.773225902647654E-5</v>
      </c>
      <c r="K16" s="61"/>
      <c r="L16" s="61">
        <f t="shared" ref="L16:L79" si="3">(B16-I16)^2</f>
        <v>151.95811523288694</v>
      </c>
      <c r="M16" s="61"/>
      <c r="N16" s="61"/>
      <c r="O16" s="60" t="s">
        <v>67</v>
      </c>
      <c r="P16" s="60"/>
    </row>
    <row r="17" spans="1:16" x14ac:dyDescent="0.25">
      <c r="A17">
        <v>5.1100000000000003</v>
      </c>
      <c r="B17">
        <v>488.56</v>
      </c>
      <c r="E17">
        <f t="shared" ref="E17:E80" si="4">A17^2</f>
        <v>26.112100000000002</v>
      </c>
      <c r="F17">
        <f t="shared" si="0"/>
        <v>2496.5416</v>
      </c>
      <c r="G17" s="62"/>
      <c r="H17" s="62"/>
      <c r="I17" s="61">
        <f t="shared" si="1"/>
        <v>456.71105154446536</v>
      </c>
      <c r="J17" s="61">
        <f t="shared" si="2"/>
        <v>9.4310091185260362E-5</v>
      </c>
      <c r="K17" s="61"/>
      <c r="L17" s="61">
        <f t="shared" si="3"/>
        <v>1014.3555177233023</v>
      </c>
      <c r="M17" s="61"/>
      <c r="N17" s="61"/>
      <c r="O17" s="60"/>
      <c r="P17" s="60"/>
    </row>
    <row r="18" spans="1:16" x14ac:dyDescent="0.25">
      <c r="A18">
        <v>20.86</v>
      </c>
      <c r="B18">
        <v>446.48</v>
      </c>
      <c r="E18">
        <f t="shared" si="4"/>
        <v>435.13959999999997</v>
      </c>
      <c r="F18">
        <f t="shared" si="0"/>
        <v>9313.5727999999999</v>
      </c>
      <c r="I18" s="61">
        <f t="shared" si="1"/>
        <v>456.70012596708676</v>
      </c>
      <c r="J18" s="61">
        <f t="shared" si="2"/>
        <v>1.4743765889864952E-6</v>
      </c>
      <c r="K18" s="61"/>
      <c r="L18" s="61">
        <f t="shared" si="3"/>
        <v>104.45097478312076</v>
      </c>
      <c r="M18" s="61"/>
      <c r="N18" s="61"/>
    </row>
    <row r="19" spans="1:16" x14ac:dyDescent="0.25">
      <c r="A19">
        <v>10.82</v>
      </c>
      <c r="B19">
        <v>473.9</v>
      </c>
      <c r="E19">
        <f t="shared" si="4"/>
        <v>117.0724</v>
      </c>
      <c r="F19">
        <f t="shared" si="0"/>
        <v>5127.598</v>
      </c>
      <c r="I19" s="61">
        <f t="shared" si="1"/>
        <v>456.70709058911098</v>
      </c>
      <c r="J19" s="61">
        <f t="shared" si="2"/>
        <v>3.306690378920914E-5</v>
      </c>
      <c r="K19" s="61"/>
      <c r="L19" s="61">
        <f t="shared" si="3"/>
        <v>295.59613401103559</v>
      </c>
      <c r="M19" s="61"/>
      <c r="N19" s="61"/>
      <c r="O19" t="s">
        <v>42</v>
      </c>
      <c r="P19">
        <f>K15</f>
        <v>2.7051685084001739E-3</v>
      </c>
    </row>
    <row r="20" spans="1:16" x14ac:dyDescent="0.25">
      <c r="A20">
        <v>26.27</v>
      </c>
      <c r="B20">
        <v>443.67</v>
      </c>
      <c r="E20">
        <f t="shared" si="4"/>
        <v>690.11289999999997</v>
      </c>
      <c r="F20">
        <f t="shared" si="0"/>
        <v>11655.2109</v>
      </c>
      <c r="I20" s="61">
        <f t="shared" si="1"/>
        <v>456.69637311796816</v>
      </c>
      <c r="J20" s="61">
        <f t="shared" si="2"/>
        <v>2.4671965359136075E-5</v>
      </c>
      <c r="K20" s="61"/>
      <c r="L20" s="61">
        <f t="shared" si="3"/>
        <v>169.68639660852321</v>
      </c>
      <c r="M20" s="61"/>
      <c r="N20" s="61"/>
    </row>
    <row r="21" spans="1:16" x14ac:dyDescent="0.25">
      <c r="A21">
        <v>15.89</v>
      </c>
      <c r="B21">
        <v>467.35</v>
      </c>
      <c r="E21">
        <f t="shared" si="4"/>
        <v>252.49210000000002</v>
      </c>
      <c r="F21">
        <f t="shared" si="0"/>
        <v>7426.1915000000008</v>
      </c>
      <c r="I21" s="61">
        <f t="shared" si="1"/>
        <v>456.70357359372622</v>
      </c>
      <c r="J21" s="61">
        <f t="shared" si="2"/>
        <v>4.9880199068841418E-6</v>
      </c>
      <c r="K21" s="61"/>
      <c r="L21" s="61">
        <f t="shared" si="3"/>
        <v>113.34639522420414</v>
      </c>
      <c r="M21" s="61"/>
      <c r="N21" s="61"/>
      <c r="O21" t="s">
        <v>43</v>
      </c>
      <c r="P21">
        <f>N15</f>
        <v>28454.965807592114</v>
      </c>
    </row>
    <row r="22" spans="1:16" x14ac:dyDescent="0.25">
      <c r="A22">
        <v>9.48</v>
      </c>
      <c r="B22">
        <v>478.42</v>
      </c>
      <c r="E22">
        <f t="shared" si="4"/>
        <v>89.870400000000004</v>
      </c>
      <c r="F22">
        <f t="shared" si="0"/>
        <v>4535.4216000000006</v>
      </c>
      <c r="I22" s="61">
        <f t="shared" si="1"/>
        <v>456.70802013029748</v>
      </c>
      <c r="J22" s="61">
        <f t="shared" si="2"/>
        <v>4.4621386141407401E-5</v>
      </c>
      <c r="K22" s="61"/>
      <c r="L22" s="61">
        <f t="shared" si="3"/>
        <v>471.41006986236795</v>
      </c>
      <c r="M22" s="61"/>
      <c r="N22" s="61"/>
    </row>
    <row r="23" spans="1:16" x14ac:dyDescent="0.25">
      <c r="A23">
        <v>14.64</v>
      </c>
      <c r="B23">
        <v>475.98</v>
      </c>
      <c r="E23">
        <f t="shared" si="4"/>
        <v>214.32960000000003</v>
      </c>
      <c r="F23">
        <f t="shared" si="0"/>
        <v>6968.3472000000002</v>
      </c>
      <c r="I23" s="61">
        <f t="shared" si="1"/>
        <v>456.704440703042</v>
      </c>
      <c r="J23" s="61">
        <f t="shared" si="2"/>
        <v>9.613080756928462E-6</v>
      </c>
      <c r="K23" s="61"/>
      <c r="L23" s="61">
        <f t="shared" si="3"/>
        <v>371.54718621054485</v>
      </c>
      <c r="M23" s="61"/>
      <c r="N23" s="61"/>
      <c r="O23" t="s">
        <v>50</v>
      </c>
      <c r="P23">
        <f>1-(M15/N15)</f>
        <v>9.5068415473242851E-8</v>
      </c>
    </row>
    <row r="24" spans="1:16" x14ac:dyDescent="0.25">
      <c r="A24">
        <v>11.74</v>
      </c>
      <c r="B24">
        <v>477.5</v>
      </c>
      <c r="E24">
        <f t="shared" si="4"/>
        <v>137.82760000000002</v>
      </c>
      <c r="F24">
        <f t="shared" si="0"/>
        <v>5605.85</v>
      </c>
      <c r="I24" s="61">
        <f t="shared" si="1"/>
        <v>456.70645239665458</v>
      </c>
      <c r="J24" s="61">
        <f t="shared" si="2"/>
        <v>2.613449139183526E-5</v>
      </c>
      <c r="K24" s="61"/>
      <c r="L24" s="61">
        <f t="shared" si="3"/>
        <v>432.37162193259189</v>
      </c>
      <c r="M24" s="61"/>
      <c r="N24" s="61"/>
    </row>
    <row r="25" spans="1:16" x14ac:dyDescent="0.25">
      <c r="A25">
        <v>17.989999999999998</v>
      </c>
      <c r="B25">
        <v>453.02</v>
      </c>
      <c r="E25">
        <f t="shared" si="4"/>
        <v>323.64009999999996</v>
      </c>
      <c r="F25">
        <f t="shared" si="0"/>
        <v>8149.8297999999986</v>
      </c>
      <c r="I25" s="61">
        <f t="shared" si="1"/>
        <v>456.70211685007575</v>
      </c>
      <c r="J25" s="61">
        <f t="shared" si="2"/>
        <v>6.0317573221523992E-7</v>
      </c>
      <c r="K25" s="61"/>
      <c r="L25" s="61">
        <f t="shared" si="3"/>
        <v>13.557984497611926</v>
      </c>
      <c r="M25" s="61"/>
      <c r="N25" s="61"/>
    </row>
    <row r="26" spans="1:16" x14ac:dyDescent="0.25">
      <c r="A26">
        <v>20.14</v>
      </c>
      <c r="B26">
        <v>453.99</v>
      </c>
      <c r="E26">
        <f t="shared" si="4"/>
        <v>405.61960000000005</v>
      </c>
      <c r="F26">
        <f t="shared" si="0"/>
        <v>9143.3585999999996</v>
      </c>
      <c r="I26" s="61">
        <f t="shared" si="1"/>
        <v>456.70062542205267</v>
      </c>
      <c r="J26" s="61">
        <f t="shared" si="2"/>
        <v>5.1091635659901184E-7</v>
      </c>
      <c r="K26" s="61"/>
      <c r="L26" s="61">
        <f t="shared" si="3"/>
        <v>7.3474901786781501</v>
      </c>
      <c r="M26" s="61"/>
      <c r="N26" s="61"/>
    </row>
    <row r="27" spans="1:16" x14ac:dyDescent="0.25">
      <c r="A27">
        <v>24.34</v>
      </c>
      <c r="B27">
        <v>440.29</v>
      </c>
      <c r="E27">
        <f t="shared" si="4"/>
        <v>592.43560000000002</v>
      </c>
      <c r="F27">
        <f t="shared" si="0"/>
        <v>10716.658600000001</v>
      </c>
      <c r="I27" s="61">
        <f t="shared" si="1"/>
        <v>456.69771193475168</v>
      </c>
      <c r="J27" s="61">
        <f t="shared" si="2"/>
        <v>1.3164353597721139E-5</v>
      </c>
      <c r="K27" s="61"/>
      <c r="L27" s="61">
        <f t="shared" si="3"/>
        <v>269.21301093379208</v>
      </c>
      <c r="M27" s="61"/>
      <c r="N27" s="61"/>
    </row>
    <row r="28" spans="1:16" x14ac:dyDescent="0.25">
      <c r="A28">
        <v>25.71</v>
      </c>
      <c r="B28">
        <v>451.28</v>
      </c>
      <c r="E28">
        <f t="shared" si="4"/>
        <v>661.00409999999999</v>
      </c>
      <c r="F28">
        <f t="shared" si="0"/>
        <v>11602.408799999999</v>
      </c>
      <c r="I28" s="61">
        <f t="shared" si="1"/>
        <v>456.69676158294163</v>
      </c>
      <c r="J28" s="61">
        <f t="shared" si="2"/>
        <v>2.0963790809593698E-5</v>
      </c>
      <c r="K28" s="61"/>
      <c r="L28" s="61">
        <f t="shared" si="3"/>
        <v>29.341306046432642</v>
      </c>
      <c r="M28" s="61"/>
      <c r="N28" s="61"/>
    </row>
    <row r="29" spans="1:16" x14ac:dyDescent="0.25">
      <c r="A29">
        <v>26.19</v>
      </c>
      <c r="B29">
        <v>433.99</v>
      </c>
      <c r="E29">
        <f t="shared" si="4"/>
        <v>685.91610000000003</v>
      </c>
      <c r="F29">
        <f t="shared" si="0"/>
        <v>11366.198100000001</v>
      </c>
      <c r="I29" s="61">
        <f t="shared" si="1"/>
        <v>456.69642861296433</v>
      </c>
      <c r="J29" s="61">
        <f t="shared" si="2"/>
        <v>2.4123747970625533E-5</v>
      </c>
      <c r="K29" s="61"/>
      <c r="L29" s="61">
        <f t="shared" si="3"/>
        <v>515.58190035564462</v>
      </c>
      <c r="M29" s="61"/>
      <c r="N29" s="61"/>
    </row>
    <row r="30" spans="1:16" x14ac:dyDescent="0.25">
      <c r="A30">
        <v>21.42</v>
      </c>
      <c r="B30">
        <v>462.19</v>
      </c>
      <c r="E30">
        <f t="shared" si="4"/>
        <v>458.8164000000001</v>
      </c>
      <c r="F30">
        <f t="shared" si="0"/>
        <v>9900.1098000000002</v>
      </c>
      <c r="I30" s="61">
        <f t="shared" si="1"/>
        <v>456.69973750211329</v>
      </c>
      <c r="J30" s="61">
        <f t="shared" si="2"/>
        <v>2.5686603431766431E-6</v>
      </c>
      <c r="K30" s="61"/>
      <c r="L30" s="61">
        <f t="shared" si="3"/>
        <v>30.142982295701149</v>
      </c>
      <c r="M30" s="61"/>
      <c r="N30" s="61"/>
    </row>
    <row r="31" spans="1:16" x14ac:dyDescent="0.25">
      <c r="A31">
        <v>18.21</v>
      </c>
      <c r="B31">
        <v>467.54</v>
      </c>
      <c r="E31">
        <f t="shared" si="4"/>
        <v>331.60410000000002</v>
      </c>
      <c r="F31">
        <f t="shared" si="0"/>
        <v>8513.9034000000011</v>
      </c>
      <c r="I31" s="61">
        <f t="shared" si="1"/>
        <v>456.70196423883618</v>
      </c>
      <c r="J31" s="61">
        <f t="shared" si="2"/>
        <v>3.8941674907550162E-7</v>
      </c>
      <c r="K31" s="61"/>
      <c r="L31" s="61">
        <f t="shared" si="3"/>
        <v>117.4630191602662</v>
      </c>
      <c r="M31" s="61"/>
      <c r="N31" s="61"/>
    </row>
    <row r="32" spans="1:16" x14ac:dyDescent="0.25">
      <c r="A32">
        <v>11.04</v>
      </c>
      <c r="B32">
        <v>477.2</v>
      </c>
      <c r="E32">
        <f t="shared" si="4"/>
        <v>121.88159999999998</v>
      </c>
      <c r="F32">
        <f t="shared" si="0"/>
        <v>5268.2879999999996</v>
      </c>
      <c r="I32" s="61">
        <f t="shared" si="1"/>
        <v>456.70693797787141</v>
      </c>
      <c r="J32" s="61">
        <f t="shared" si="2"/>
        <v>3.1335047847134712E-5</v>
      </c>
      <c r="K32" s="61"/>
      <c r="L32" s="61">
        <f t="shared" si="3"/>
        <v>419.96559104280885</v>
      </c>
      <c r="M32" s="61"/>
      <c r="N32" s="61"/>
    </row>
    <row r="33" spans="1:14" x14ac:dyDescent="0.25">
      <c r="A33">
        <v>14.45</v>
      </c>
      <c r="B33">
        <v>459.85</v>
      </c>
      <c r="E33">
        <f t="shared" si="4"/>
        <v>208.80249999999998</v>
      </c>
      <c r="F33">
        <f t="shared" si="0"/>
        <v>6644.8325000000004</v>
      </c>
      <c r="I33" s="61">
        <f t="shared" si="1"/>
        <v>456.70457250365803</v>
      </c>
      <c r="J33" s="61">
        <f t="shared" si="2"/>
        <v>1.0447746950687406E-5</v>
      </c>
      <c r="K33" s="61"/>
      <c r="L33" s="61">
        <f t="shared" si="3"/>
        <v>9.8937141347442701</v>
      </c>
      <c r="M33" s="61"/>
      <c r="N33" s="61"/>
    </row>
    <row r="34" spans="1:14" x14ac:dyDescent="0.25">
      <c r="A34">
        <v>13.97</v>
      </c>
      <c r="B34">
        <v>464.3</v>
      </c>
      <c r="E34">
        <f t="shared" si="4"/>
        <v>195.16090000000003</v>
      </c>
      <c r="F34">
        <f t="shared" si="0"/>
        <v>6486.2710000000006</v>
      </c>
      <c r="I34" s="61">
        <f t="shared" si="1"/>
        <v>456.70490547363528</v>
      </c>
      <c r="J34" s="61">
        <f t="shared" si="2"/>
        <v>1.2711131988205293E-5</v>
      </c>
      <c r="K34" s="61"/>
      <c r="L34" s="61">
        <f t="shared" si="3"/>
        <v>57.685460864415525</v>
      </c>
      <c r="M34" s="61"/>
      <c r="N34" s="61"/>
    </row>
    <row r="35" spans="1:14" x14ac:dyDescent="0.25">
      <c r="A35">
        <v>17.760000000000002</v>
      </c>
      <c r="B35">
        <v>468.27</v>
      </c>
      <c r="E35">
        <f t="shared" si="4"/>
        <v>315.41760000000005</v>
      </c>
      <c r="F35">
        <f t="shared" si="0"/>
        <v>8316.4752000000008</v>
      </c>
      <c r="I35" s="61">
        <f t="shared" si="1"/>
        <v>456.70227639818984</v>
      </c>
      <c r="J35" s="61">
        <f t="shared" si="2"/>
        <v>8.764554689216048E-7</v>
      </c>
      <c r="K35" s="61"/>
      <c r="L35" s="61">
        <f t="shared" si="3"/>
        <v>133.81222932787546</v>
      </c>
      <c r="M35" s="61"/>
      <c r="N35" s="61"/>
    </row>
    <row r="36" spans="1:14" x14ac:dyDescent="0.25">
      <c r="A36">
        <v>5.41</v>
      </c>
      <c r="B36">
        <v>495.24</v>
      </c>
      <c r="E36">
        <f t="shared" si="4"/>
        <v>29.2681</v>
      </c>
      <c r="F36">
        <f t="shared" si="0"/>
        <v>2679.2483999999999</v>
      </c>
      <c r="I36" s="61">
        <f t="shared" si="1"/>
        <v>456.71084343822963</v>
      </c>
      <c r="J36" s="61">
        <f t="shared" si="2"/>
        <v>9.0311419283941046E-5</v>
      </c>
      <c r="K36" s="61"/>
      <c r="L36" s="61">
        <f t="shared" si="3"/>
        <v>1484.4959053614134</v>
      </c>
      <c r="M36" s="61"/>
      <c r="N36" s="61"/>
    </row>
    <row r="37" spans="1:14" x14ac:dyDescent="0.25">
      <c r="A37">
        <v>7.76</v>
      </c>
      <c r="B37">
        <v>483.8</v>
      </c>
      <c r="E37">
        <f t="shared" si="4"/>
        <v>60.217599999999997</v>
      </c>
      <c r="F37">
        <f t="shared" si="0"/>
        <v>3754.288</v>
      </c>
      <c r="I37" s="61">
        <f t="shared" si="1"/>
        <v>456.70921327271594</v>
      </c>
      <c r="J37" s="61">
        <f t="shared" si="2"/>
        <v>6.1985176592228589E-5</v>
      </c>
      <c r="K37" s="61"/>
      <c r="L37" s="61">
        <f t="shared" si="3"/>
        <v>733.91072550319063</v>
      </c>
      <c r="M37" s="61"/>
      <c r="N37" s="61"/>
    </row>
    <row r="38" spans="1:14" x14ac:dyDescent="0.25">
      <c r="A38">
        <v>27.23</v>
      </c>
      <c r="B38">
        <v>443.61</v>
      </c>
      <c r="E38">
        <f t="shared" si="4"/>
        <v>741.47289999999998</v>
      </c>
      <c r="F38">
        <f t="shared" si="0"/>
        <v>12079.5003</v>
      </c>
      <c r="I38" s="61">
        <f t="shared" si="1"/>
        <v>456.69570717801366</v>
      </c>
      <c r="J38" s="61">
        <f t="shared" si="2"/>
        <v>3.1731006385097988E-5</v>
      </c>
      <c r="K38" s="61"/>
      <c r="L38" s="61">
        <f t="shared" si="3"/>
        <v>171.23573234871796</v>
      </c>
      <c r="M38" s="61"/>
      <c r="N38" s="61"/>
    </row>
    <row r="39" spans="1:14" x14ac:dyDescent="0.25">
      <c r="A39">
        <v>27.36</v>
      </c>
      <c r="B39">
        <v>436.06</v>
      </c>
      <c r="E39">
        <f t="shared" si="4"/>
        <v>748.56959999999992</v>
      </c>
      <c r="F39">
        <f t="shared" si="0"/>
        <v>11930.6016</v>
      </c>
      <c r="I39" s="61">
        <f t="shared" si="1"/>
        <v>456.69561699864482</v>
      </c>
      <c r="J39" s="61">
        <f t="shared" si="2"/>
        <v>3.2755104554056155E-5</v>
      </c>
      <c r="K39" s="61"/>
      <c r="L39" s="61">
        <f t="shared" si="3"/>
        <v>425.82868891475908</v>
      </c>
      <c r="M39" s="61"/>
      <c r="N39" s="61"/>
    </row>
    <row r="40" spans="1:14" x14ac:dyDescent="0.25">
      <c r="A40">
        <v>27.47</v>
      </c>
      <c r="B40">
        <v>443.25</v>
      </c>
      <c r="E40">
        <f t="shared" si="4"/>
        <v>754.60089999999991</v>
      </c>
      <c r="F40">
        <f t="shared" si="0"/>
        <v>12176.077499999999</v>
      </c>
      <c r="I40" s="61">
        <f t="shared" si="1"/>
        <v>456.69554069302501</v>
      </c>
      <c r="J40" s="61">
        <f t="shared" si="2"/>
        <v>3.363435289910608E-5</v>
      </c>
      <c r="K40" s="61"/>
      <c r="L40" s="61">
        <f t="shared" si="3"/>
        <v>180.78256452779144</v>
      </c>
      <c r="M40" s="61"/>
      <c r="N40" s="61"/>
    </row>
    <row r="41" spans="1:14" x14ac:dyDescent="0.25">
      <c r="A41">
        <v>14.6</v>
      </c>
      <c r="B41">
        <v>464.16</v>
      </c>
      <c r="E41">
        <f t="shared" si="4"/>
        <v>213.16</v>
      </c>
      <c r="F41">
        <f t="shared" si="0"/>
        <v>6776.7359999999999</v>
      </c>
      <c r="I41" s="61">
        <f t="shared" si="1"/>
        <v>456.70446845054011</v>
      </c>
      <c r="J41" s="61">
        <f t="shared" si="2"/>
        <v>9.7859127419028127E-6</v>
      </c>
      <c r="K41" s="61"/>
      <c r="L41" s="61">
        <f t="shared" si="3"/>
        <v>55.584950684992236</v>
      </c>
      <c r="M41" s="61"/>
      <c r="N41" s="61"/>
    </row>
    <row r="42" spans="1:14" x14ac:dyDescent="0.25">
      <c r="A42">
        <v>7.91</v>
      </c>
      <c r="B42">
        <v>475.52</v>
      </c>
      <c r="E42">
        <f t="shared" si="4"/>
        <v>62.568100000000001</v>
      </c>
      <c r="F42">
        <f t="shared" si="0"/>
        <v>3761.3631999999998</v>
      </c>
      <c r="I42" s="61">
        <f t="shared" si="1"/>
        <v>456.70910921959808</v>
      </c>
      <c r="J42" s="61">
        <f t="shared" si="2"/>
        <v>6.0357569404255644E-5</v>
      </c>
      <c r="K42" s="61"/>
      <c r="L42" s="61">
        <f t="shared" si="3"/>
        <v>353.84961195220939</v>
      </c>
      <c r="M42" s="61"/>
      <c r="N42" s="61"/>
    </row>
    <row r="43" spans="1:14" x14ac:dyDescent="0.25">
      <c r="A43">
        <v>5.81</v>
      </c>
      <c r="B43">
        <v>484.41</v>
      </c>
      <c r="E43">
        <f t="shared" si="4"/>
        <v>33.756099999999996</v>
      </c>
      <c r="F43">
        <f t="shared" si="0"/>
        <v>2814.4220999999998</v>
      </c>
      <c r="I43" s="61">
        <f t="shared" si="1"/>
        <v>456.71056596324854</v>
      </c>
      <c r="J43" s="61">
        <f t="shared" si="2"/>
        <v>8.5114593385619258E-5</v>
      </c>
      <c r="K43" s="61"/>
      <c r="L43" s="61">
        <f t="shared" si="3"/>
        <v>767.25864595634664</v>
      </c>
      <c r="M43" s="61"/>
      <c r="N43" s="61"/>
    </row>
    <row r="44" spans="1:14" x14ac:dyDescent="0.25">
      <c r="A44">
        <v>30.53</v>
      </c>
      <c r="B44">
        <v>437.89</v>
      </c>
      <c r="E44">
        <f t="shared" si="4"/>
        <v>932.08090000000004</v>
      </c>
      <c r="F44">
        <f t="shared" si="0"/>
        <v>13368.7817</v>
      </c>
      <c r="I44" s="61">
        <f t="shared" si="1"/>
        <v>456.69341800942004</v>
      </c>
      <c r="J44" s="61">
        <f t="shared" si="2"/>
        <v>6.2761201591166562E-5</v>
      </c>
      <c r="K44" s="61"/>
      <c r="L44" s="61">
        <f t="shared" si="3"/>
        <v>353.56852883698252</v>
      </c>
      <c r="M44" s="61"/>
      <c r="N44" s="61"/>
    </row>
    <row r="45" spans="1:14" x14ac:dyDescent="0.25">
      <c r="A45">
        <v>23.87</v>
      </c>
      <c r="B45">
        <v>445.11</v>
      </c>
      <c r="E45">
        <f t="shared" si="4"/>
        <v>569.77690000000007</v>
      </c>
      <c r="F45">
        <f t="shared" si="0"/>
        <v>10624.7757</v>
      </c>
      <c r="I45" s="61">
        <f t="shared" si="1"/>
        <v>456.69803796785442</v>
      </c>
      <c r="J45" s="61">
        <f t="shared" si="2"/>
        <v>1.0904777995493858E-5</v>
      </c>
      <c r="K45" s="61"/>
      <c r="L45" s="61">
        <f t="shared" si="3"/>
        <v>134.28262394443524</v>
      </c>
      <c r="M45" s="61"/>
      <c r="N45" s="61"/>
    </row>
    <row r="46" spans="1:14" x14ac:dyDescent="0.25">
      <c r="A46">
        <v>26.09</v>
      </c>
      <c r="B46">
        <v>438.86</v>
      </c>
      <c r="E46">
        <f t="shared" si="4"/>
        <v>680.68809999999996</v>
      </c>
      <c r="F46">
        <f t="shared" si="0"/>
        <v>11449.857400000001</v>
      </c>
      <c r="I46" s="61">
        <f t="shared" si="1"/>
        <v>456.69649798170963</v>
      </c>
      <c r="J46" s="61">
        <f t="shared" si="2"/>
        <v>2.3447137875083442E-5</v>
      </c>
      <c r="K46" s="61"/>
      <c r="L46" s="61">
        <f t="shared" si="3"/>
        <v>318.14066025153107</v>
      </c>
      <c r="M46" s="61"/>
      <c r="N46" s="61"/>
    </row>
    <row r="47" spans="1:14" x14ac:dyDescent="0.25">
      <c r="A47">
        <v>29.27</v>
      </c>
      <c r="B47">
        <v>440.98</v>
      </c>
      <c r="E47">
        <f t="shared" si="4"/>
        <v>856.73289999999997</v>
      </c>
      <c r="F47">
        <f t="shared" si="0"/>
        <v>12907.4846</v>
      </c>
      <c r="I47" s="61">
        <f t="shared" si="1"/>
        <v>456.69429205561033</v>
      </c>
      <c r="J47" s="61">
        <f t="shared" si="2"/>
        <v>4.9676426530711287E-5</v>
      </c>
      <c r="K47" s="61"/>
      <c r="L47" s="61">
        <f t="shared" si="3"/>
        <v>246.93897480901745</v>
      </c>
      <c r="M47" s="61"/>
      <c r="N47" s="61"/>
    </row>
    <row r="48" spans="1:14" x14ac:dyDescent="0.25">
      <c r="A48">
        <v>27.38</v>
      </c>
      <c r="B48">
        <v>436.65</v>
      </c>
      <c r="E48">
        <f t="shared" si="4"/>
        <v>749.6644</v>
      </c>
      <c r="F48">
        <f t="shared" si="0"/>
        <v>11955.476999999999</v>
      </c>
      <c r="I48" s="61">
        <f t="shared" si="1"/>
        <v>456.69560312489574</v>
      </c>
      <c r="J48" s="61">
        <f t="shared" si="2"/>
        <v>3.2914101725708203E-5</v>
      </c>
      <c r="K48" s="61"/>
      <c r="L48" s="61">
        <f t="shared" si="3"/>
        <v>401.82620464083078</v>
      </c>
      <c r="M48" s="61"/>
      <c r="N48" s="61"/>
    </row>
    <row r="49" spans="1:14" x14ac:dyDescent="0.25">
      <c r="A49">
        <v>24.81</v>
      </c>
      <c r="B49">
        <v>444.26</v>
      </c>
      <c r="E49">
        <f t="shared" si="4"/>
        <v>615.53609999999992</v>
      </c>
      <c r="F49">
        <f t="shared" si="0"/>
        <v>11022.0906</v>
      </c>
      <c r="I49" s="61">
        <f t="shared" si="1"/>
        <v>456.69738590164894</v>
      </c>
      <c r="J49" s="61">
        <f t="shared" si="2"/>
        <v>1.5636524368109976E-5</v>
      </c>
      <c r="K49" s="61"/>
      <c r="L49" s="61">
        <f t="shared" si="3"/>
        <v>154.68856806653611</v>
      </c>
      <c r="M49" s="61"/>
      <c r="N49" s="61"/>
    </row>
    <row r="50" spans="1:14" x14ac:dyDescent="0.25">
      <c r="A50">
        <v>12.75</v>
      </c>
      <c r="B50">
        <v>465.86</v>
      </c>
      <c r="E50">
        <f t="shared" si="4"/>
        <v>162.5625</v>
      </c>
      <c r="F50">
        <f t="shared" si="0"/>
        <v>5939.7150000000001</v>
      </c>
      <c r="I50" s="61">
        <f t="shared" si="1"/>
        <v>456.70575177232746</v>
      </c>
      <c r="J50" s="61">
        <f t="shared" si="2"/>
        <v>1.9461915824583483E-5</v>
      </c>
      <c r="K50" s="61"/>
      <c r="L50" s="61">
        <f t="shared" si="3"/>
        <v>83.800260613846092</v>
      </c>
      <c r="M50" s="61"/>
      <c r="N50" s="61"/>
    </row>
    <row r="51" spans="1:14" x14ac:dyDescent="0.25">
      <c r="A51">
        <v>24.66</v>
      </c>
      <c r="B51">
        <v>444.37</v>
      </c>
      <c r="E51">
        <f t="shared" si="4"/>
        <v>608.11559999999997</v>
      </c>
      <c r="F51">
        <f t="shared" si="0"/>
        <v>10958.164200000001</v>
      </c>
      <c r="I51" s="61">
        <f t="shared" si="1"/>
        <v>456.69748995476687</v>
      </c>
      <c r="J51" s="61">
        <f t="shared" si="2"/>
        <v>1.4824435986961908E-5</v>
      </c>
      <c r="K51" s="61"/>
      <c r="L51" s="61">
        <f t="shared" si="3"/>
        <v>151.96700858487787</v>
      </c>
      <c r="M51" s="61"/>
      <c r="N51" s="61"/>
    </row>
    <row r="52" spans="1:14" x14ac:dyDescent="0.25">
      <c r="A52">
        <v>16.38</v>
      </c>
      <c r="B52">
        <v>450.69</v>
      </c>
      <c r="E52">
        <f t="shared" si="4"/>
        <v>268.30439999999999</v>
      </c>
      <c r="F52">
        <f t="shared" si="0"/>
        <v>7382.3021999999992</v>
      </c>
      <c r="I52" s="61">
        <f t="shared" si="1"/>
        <v>456.70323368687446</v>
      </c>
      <c r="J52" s="61">
        <f t="shared" si="2"/>
        <v>3.5852691193151929E-6</v>
      </c>
      <c r="K52" s="61"/>
      <c r="L52" s="61">
        <f t="shared" si="3"/>
        <v>36.158979372961781</v>
      </c>
      <c r="M52" s="61"/>
      <c r="N52" s="61"/>
    </row>
    <row r="53" spans="1:14" x14ac:dyDescent="0.25">
      <c r="A53">
        <v>13.91</v>
      </c>
      <c r="B53">
        <v>469.02</v>
      </c>
      <c r="E53">
        <f t="shared" si="4"/>
        <v>193.4881</v>
      </c>
      <c r="F53">
        <f t="shared" si="0"/>
        <v>6524.0681999999997</v>
      </c>
      <c r="I53" s="61">
        <f t="shared" si="1"/>
        <v>456.70494709488241</v>
      </c>
      <c r="J53" s="61">
        <f t="shared" si="2"/>
        <v>1.3009646071674904E-5</v>
      </c>
      <c r="K53" s="61"/>
      <c r="L53" s="61">
        <f t="shared" si="3"/>
        <v>151.66052805584465</v>
      </c>
      <c r="M53" s="61"/>
      <c r="N53" s="61"/>
    </row>
    <row r="54" spans="1:14" x14ac:dyDescent="0.25">
      <c r="A54">
        <v>23.18</v>
      </c>
      <c r="B54">
        <v>448.86</v>
      </c>
      <c r="E54">
        <f t="shared" si="4"/>
        <v>537.31240000000003</v>
      </c>
      <c r="F54">
        <f t="shared" si="0"/>
        <v>10404.5748</v>
      </c>
      <c r="I54" s="61">
        <f t="shared" si="1"/>
        <v>456.69851661219673</v>
      </c>
      <c r="J54" s="61">
        <f t="shared" si="2"/>
        <v>7.972683013631065E-6</v>
      </c>
      <c r="K54" s="61"/>
      <c r="L54" s="61">
        <f t="shared" si="3"/>
        <v>61.44234267968384</v>
      </c>
      <c r="M54" s="61"/>
      <c r="N54" s="61"/>
    </row>
    <row r="55" spans="1:14" x14ac:dyDescent="0.25">
      <c r="A55">
        <v>22.47</v>
      </c>
      <c r="B55">
        <v>447.14</v>
      </c>
      <c r="E55">
        <f t="shared" si="4"/>
        <v>504.90089999999992</v>
      </c>
      <c r="F55">
        <f t="shared" si="0"/>
        <v>10047.235799999999</v>
      </c>
      <c r="I55" s="61">
        <f t="shared" si="1"/>
        <v>456.69900913028806</v>
      </c>
      <c r="J55" s="61">
        <f t="shared" si="2"/>
        <v>5.433914839779814E-6</v>
      </c>
      <c r="K55" s="61"/>
      <c r="L55" s="61">
        <f t="shared" si="3"/>
        <v>91.374655552930776</v>
      </c>
      <c r="M55" s="61"/>
      <c r="N55" s="61"/>
    </row>
    <row r="56" spans="1:14" x14ac:dyDescent="0.25">
      <c r="A56">
        <v>13.39</v>
      </c>
      <c r="B56">
        <v>469.18</v>
      </c>
      <c r="E56">
        <f t="shared" si="4"/>
        <v>179.2921</v>
      </c>
      <c r="F56">
        <f t="shared" si="0"/>
        <v>6282.3202000000001</v>
      </c>
      <c r="I56" s="61">
        <f t="shared" si="1"/>
        <v>456.70530781235777</v>
      </c>
      <c r="J56" s="61">
        <f t="shared" si="2"/>
        <v>1.5741898737988233E-5</v>
      </c>
      <c r="K56" s="61"/>
      <c r="L56" s="61">
        <f t="shared" si="3"/>
        <v>155.61794517642218</v>
      </c>
      <c r="M56" s="61"/>
      <c r="N56" s="61"/>
    </row>
    <row r="57" spans="1:14" x14ac:dyDescent="0.25">
      <c r="A57">
        <v>9.2799999999999994</v>
      </c>
      <c r="B57">
        <v>482.8</v>
      </c>
      <c r="E57">
        <f t="shared" si="4"/>
        <v>86.118399999999994</v>
      </c>
      <c r="F57">
        <f t="shared" si="0"/>
        <v>4480.384</v>
      </c>
      <c r="I57" s="61">
        <f t="shared" si="1"/>
        <v>456.70815886778797</v>
      </c>
      <c r="J57" s="61">
        <f t="shared" si="2"/>
        <v>4.6494146048558459E-5</v>
      </c>
      <c r="K57" s="61"/>
      <c r="L57" s="61">
        <f t="shared" si="3"/>
        <v>680.78417366859208</v>
      </c>
      <c r="M57" s="61"/>
      <c r="N57" s="61"/>
    </row>
    <row r="58" spans="1:14" x14ac:dyDescent="0.25">
      <c r="A58">
        <v>11.82</v>
      </c>
      <c r="B58">
        <v>476.7</v>
      </c>
      <c r="E58">
        <f t="shared" si="4"/>
        <v>139.7124</v>
      </c>
      <c r="F58">
        <f t="shared" si="0"/>
        <v>5634.5940000000001</v>
      </c>
      <c r="I58" s="61">
        <f t="shared" si="1"/>
        <v>456.70639690165837</v>
      </c>
      <c r="J58" s="61">
        <f t="shared" si="2"/>
        <v>2.5570169104950055E-5</v>
      </c>
      <c r="K58" s="61"/>
      <c r="L58" s="61">
        <f t="shared" si="3"/>
        <v>399.74416485401576</v>
      </c>
      <c r="M58" s="61"/>
      <c r="N58" s="61"/>
    </row>
    <row r="59" spans="1:14" x14ac:dyDescent="0.25">
      <c r="A59">
        <v>10.27</v>
      </c>
      <c r="B59">
        <v>474.99</v>
      </c>
      <c r="E59">
        <f t="shared" si="4"/>
        <v>105.4729</v>
      </c>
      <c r="F59">
        <f t="shared" si="0"/>
        <v>4878.1472999999996</v>
      </c>
      <c r="I59" s="61">
        <f t="shared" si="1"/>
        <v>456.70747211720993</v>
      </c>
      <c r="J59" s="61">
        <f t="shared" si="2"/>
        <v>3.7600332811123196E-5</v>
      </c>
      <c r="K59" s="61"/>
      <c r="L59" s="61">
        <f t="shared" si="3"/>
        <v>334.25082578499661</v>
      </c>
      <c r="M59" s="61"/>
      <c r="N59" s="61"/>
    </row>
    <row r="60" spans="1:14" x14ac:dyDescent="0.25">
      <c r="A60">
        <v>22.92</v>
      </c>
      <c r="B60">
        <v>444.22</v>
      </c>
      <c r="E60">
        <f t="shared" si="4"/>
        <v>525.32640000000004</v>
      </c>
      <c r="F60">
        <f t="shared" si="0"/>
        <v>10181.522400000002</v>
      </c>
      <c r="I60" s="61">
        <f t="shared" si="1"/>
        <v>456.69869697093441</v>
      </c>
      <c r="J60" s="61">
        <f t="shared" si="2"/>
        <v>6.9866925928049733E-6</v>
      </c>
      <c r="K60" s="61"/>
      <c r="L60" s="61">
        <f t="shared" si="3"/>
        <v>155.71787809240686</v>
      </c>
      <c r="M60" s="61"/>
      <c r="N60" s="61"/>
    </row>
    <row r="61" spans="1:14" x14ac:dyDescent="0.25">
      <c r="A61">
        <v>16</v>
      </c>
      <c r="B61">
        <v>461.33</v>
      </c>
      <c r="E61">
        <f t="shared" si="4"/>
        <v>256</v>
      </c>
      <c r="F61">
        <f t="shared" si="0"/>
        <v>7381.28</v>
      </c>
      <c r="I61" s="61">
        <f t="shared" si="1"/>
        <v>456.70349728810646</v>
      </c>
      <c r="J61" s="61">
        <f t="shared" si="2"/>
        <v>4.6530024135915809E-6</v>
      </c>
      <c r="K61" s="61"/>
      <c r="L61" s="61">
        <f t="shared" si="3"/>
        <v>21.404527343158115</v>
      </c>
      <c r="M61" s="61"/>
      <c r="N61" s="61"/>
    </row>
    <row r="62" spans="1:14" x14ac:dyDescent="0.25">
      <c r="A62">
        <v>21.22</v>
      </c>
      <c r="B62">
        <v>448.06</v>
      </c>
      <c r="E62">
        <f t="shared" si="4"/>
        <v>450.28839999999997</v>
      </c>
      <c r="F62">
        <f t="shared" si="0"/>
        <v>9507.8331999999991</v>
      </c>
      <c r="I62" s="61">
        <f t="shared" si="1"/>
        <v>456.69987623960384</v>
      </c>
      <c r="J62" s="61">
        <f t="shared" si="2"/>
        <v>2.1431981523220442E-6</v>
      </c>
      <c r="K62" s="61"/>
      <c r="L62" s="61">
        <f t="shared" si="3"/>
        <v>74.647461435670934</v>
      </c>
      <c r="M62" s="61"/>
      <c r="N62" s="61"/>
    </row>
    <row r="63" spans="1:14" x14ac:dyDescent="0.25">
      <c r="A63">
        <v>13.46</v>
      </c>
      <c r="B63">
        <v>474.6</v>
      </c>
      <c r="E63">
        <f t="shared" si="4"/>
        <v>181.17160000000001</v>
      </c>
      <c r="F63">
        <f t="shared" si="0"/>
        <v>6388.1160000000009</v>
      </c>
      <c r="I63" s="61">
        <f t="shared" si="1"/>
        <v>456.70525925423607</v>
      </c>
      <c r="J63" s="61">
        <f t="shared" si="2"/>
        <v>1.5358937622394362E-5</v>
      </c>
      <c r="K63" s="61"/>
      <c r="L63" s="61">
        <f t="shared" si="3"/>
        <v>320.22174635810467</v>
      </c>
      <c r="M63" s="61"/>
      <c r="N63" s="61"/>
    </row>
    <row r="64" spans="1:14" x14ac:dyDescent="0.25">
      <c r="A64">
        <v>9.39</v>
      </c>
      <c r="B64">
        <v>473.05</v>
      </c>
      <c r="E64">
        <f t="shared" si="4"/>
        <v>88.172100000000015</v>
      </c>
      <c r="F64">
        <f t="shared" si="0"/>
        <v>4441.9395000000004</v>
      </c>
      <c r="I64" s="61">
        <f t="shared" si="1"/>
        <v>456.70808256216822</v>
      </c>
      <c r="J64" s="61">
        <f t="shared" si="2"/>
        <v>4.5459364197190126E-5</v>
      </c>
      <c r="K64" s="61"/>
      <c r="L64" s="61">
        <f t="shared" si="3"/>
        <v>267.05826554491091</v>
      </c>
      <c r="M64" s="61"/>
      <c r="N64" s="61"/>
    </row>
    <row r="65" spans="1:14" x14ac:dyDescent="0.25">
      <c r="A65">
        <v>31.07</v>
      </c>
      <c r="B65">
        <v>432.06</v>
      </c>
      <c r="E65">
        <f t="shared" si="4"/>
        <v>965.34490000000005</v>
      </c>
      <c r="F65">
        <f t="shared" si="0"/>
        <v>13424.1042</v>
      </c>
      <c r="I65" s="61">
        <f t="shared" si="1"/>
        <v>456.6930434181956</v>
      </c>
      <c r="J65" s="61">
        <f t="shared" si="2"/>
        <v>6.8836690949917605E-5</v>
      </c>
      <c r="K65" s="61"/>
      <c r="L65" s="61">
        <f t="shared" si="3"/>
        <v>606.78682804270943</v>
      </c>
      <c r="M65" s="61"/>
      <c r="N65" s="61"/>
    </row>
    <row r="66" spans="1:14" x14ac:dyDescent="0.25">
      <c r="A66">
        <v>12.82</v>
      </c>
      <c r="B66">
        <v>467.41</v>
      </c>
      <c r="E66">
        <f t="shared" si="4"/>
        <v>164.35240000000002</v>
      </c>
      <c r="F66">
        <f t="shared" si="0"/>
        <v>5992.1962000000003</v>
      </c>
      <c r="I66" s="61">
        <f t="shared" si="1"/>
        <v>456.70570321420576</v>
      </c>
      <c r="J66" s="61">
        <f t="shared" si="2"/>
        <v>1.9035838984509317E-5</v>
      </c>
      <c r="K66" s="61"/>
      <c r="L66" s="61">
        <f t="shared" si="3"/>
        <v>114.58196967836554</v>
      </c>
      <c r="M66" s="61"/>
      <c r="N66" s="61"/>
    </row>
    <row r="67" spans="1:14" x14ac:dyDescent="0.25">
      <c r="A67">
        <v>32.57</v>
      </c>
      <c r="B67">
        <v>430.12</v>
      </c>
      <c r="E67">
        <f t="shared" si="4"/>
        <v>1060.8049000000001</v>
      </c>
      <c r="F67">
        <f t="shared" si="0"/>
        <v>14009.008400000001</v>
      </c>
      <c r="I67" s="61">
        <f t="shared" si="1"/>
        <v>456.69200288701671</v>
      </c>
      <c r="J67" s="61">
        <f t="shared" si="2"/>
        <v>8.7185529260441855E-5</v>
      </c>
      <c r="K67" s="61"/>
      <c r="L67" s="61">
        <f t="shared" si="3"/>
        <v>706.07133742762426</v>
      </c>
      <c r="M67" s="61"/>
      <c r="N67" s="61"/>
    </row>
    <row r="68" spans="1:14" x14ac:dyDescent="0.25">
      <c r="A68">
        <v>8.11</v>
      </c>
      <c r="B68">
        <v>473.62</v>
      </c>
      <c r="E68">
        <f t="shared" si="4"/>
        <v>65.772099999999995</v>
      </c>
      <c r="F68">
        <f t="shared" si="0"/>
        <v>3841.0581999999999</v>
      </c>
      <c r="I68" s="61">
        <f t="shared" si="1"/>
        <v>456.70897048210753</v>
      </c>
      <c r="J68" s="61">
        <f t="shared" si="2"/>
        <v>5.822111064580799E-5</v>
      </c>
      <c r="K68" s="61"/>
      <c r="L68" s="61">
        <f t="shared" si="3"/>
        <v>285.9829193550305</v>
      </c>
      <c r="M68" s="61"/>
      <c r="N68" s="61"/>
    </row>
    <row r="69" spans="1:14" x14ac:dyDescent="0.25">
      <c r="A69">
        <v>13.92</v>
      </c>
      <c r="B69">
        <v>471.81</v>
      </c>
      <c r="E69">
        <f t="shared" si="4"/>
        <v>193.7664</v>
      </c>
      <c r="F69">
        <f t="shared" si="0"/>
        <v>6567.5951999999997</v>
      </c>
      <c r="I69" s="61">
        <f t="shared" si="1"/>
        <v>456.7049401580079</v>
      </c>
      <c r="J69" s="61">
        <f t="shared" si="2"/>
        <v>1.2959653123357474E-5</v>
      </c>
      <c r="K69" s="61"/>
      <c r="L69" s="61">
        <f t="shared" si="3"/>
        <v>228.16283283016244</v>
      </c>
      <c r="M69" s="61"/>
      <c r="N69" s="61"/>
    </row>
    <row r="70" spans="1:14" x14ac:dyDescent="0.25">
      <c r="A70">
        <v>23.04</v>
      </c>
      <c r="B70">
        <v>442.99</v>
      </c>
      <c r="E70">
        <f t="shared" si="4"/>
        <v>530.84159999999997</v>
      </c>
      <c r="F70">
        <f t="shared" si="0"/>
        <v>10206.489599999999</v>
      </c>
      <c r="I70" s="61">
        <f t="shared" si="1"/>
        <v>456.69861372844008</v>
      </c>
      <c r="J70" s="61">
        <f t="shared" si="2"/>
        <v>7.4336808964600624E-6</v>
      </c>
      <c r="K70" s="61"/>
      <c r="L70" s="61">
        <f t="shared" si="3"/>
        <v>187.92609035557558</v>
      </c>
      <c r="M70" s="61"/>
      <c r="N70" s="61"/>
    </row>
    <row r="71" spans="1:14" x14ac:dyDescent="0.25">
      <c r="A71">
        <v>27.31</v>
      </c>
      <c r="B71">
        <v>442.77</v>
      </c>
      <c r="E71">
        <f t="shared" si="4"/>
        <v>745.83609999999987</v>
      </c>
      <c r="F71">
        <f t="shared" si="0"/>
        <v>12092.048699999999</v>
      </c>
      <c r="I71" s="61">
        <f t="shared" si="1"/>
        <v>456.69565168301745</v>
      </c>
      <c r="J71" s="61">
        <f t="shared" si="2"/>
        <v>3.2359295833890228E-5</v>
      </c>
      <c r="K71" s="61"/>
      <c r="L71" s="61">
        <f t="shared" si="3"/>
        <v>193.92377479672712</v>
      </c>
      <c r="M71" s="61"/>
      <c r="N71" s="61"/>
    </row>
    <row r="72" spans="1:14" x14ac:dyDescent="0.25">
      <c r="A72">
        <v>5.91</v>
      </c>
      <c r="B72">
        <v>491.49</v>
      </c>
      <c r="E72">
        <f t="shared" si="4"/>
        <v>34.928100000000001</v>
      </c>
      <c r="F72">
        <f t="shared" si="0"/>
        <v>2904.7058999999999</v>
      </c>
      <c r="I72" s="61">
        <f t="shared" si="1"/>
        <v>456.7104965945033</v>
      </c>
      <c r="J72" s="61">
        <f t="shared" si="2"/>
        <v>8.3839447025662643E-5</v>
      </c>
      <c r="K72" s="61"/>
      <c r="L72" s="61">
        <f t="shared" si="3"/>
        <v>1209.6138571329573</v>
      </c>
      <c r="M72" s="61"/>
      <c r="N72" s="61"/>
    </row>
    <row r="73" spans="1:14" x14ac:dyDescent="0.25">
      <c r="A73">
        <v>25.26</v>
      </c>
      <c r="B73">
        <v>447.46</v>
      </c>
      <c r="E73">
        <f t="shared" si="4"/>
        <v>638.06760000000008</v>
      </c>
      <c r="F73">
        <f t="shared" si="0"/>
        <v>11302.839599999999</v>
      </c>
      <c r="I73" s="61">
        <f t="shared" si="1"/>
        <v>456.69707374229529</v>
      </c>
      <c r="J73" s="61">
        <f t="shared" si="2"/>
        <v>1.820271412677765E-5</v>
      </c>
      <c r="K73" s="61"/>
      <c r="L73" s="61">
        <f t="shared" si="3"/>
        <v>85.323531320601461</v>
      </c>
      <c r="M73" s="61"/>
      <c r="N73" s="61"/>
    </row>
    <row r="74" spans="1:14" x14ac:dyDescent="0.25">
      <c r="A74">
        <v>27.97</v>
      </c>
      <c r="B74">
        <v>446.11</v>
      </c>
      <c r="E74">
        <f t="shared" si="4"/>
        <v>782.32089999999994</v>
      </c>
      <c r="F74">
        <f t="shared" si="0"/>
        <v>12477.6967</v>
      </c>
      <c r="I74" s="61">
        <f t="shared" si="1"/>
        <v>456.69519384929873</v>
      </c>
      <c r="J74" s="61">
        <f t="shared" si="2"/>
        <v>3.7777702979939547E-5</v>
      </c>
      <c r="K74" s="61"/>
      <c r="L74" s="61">
        <f t="shared" si="3"/>
        <v>112.04632882723142</v>
      </c>
      <c r="M74" s="61"/>
      <c r="N74" s="61"/>
    </row>
    <row r="75" spans="1:14" x14ac:dyDescent="0.25">
      <c r="A75">
        <v>26.08</v>
      </c>
      <c r="B75">
        <v>442.44</v>
      </c>
      <c r="E75">
        <f t="shared" si="4"/>
        <v>680.16639999999995</v>
      </c>
      <c r="F75">
        <f t="shared" si="0"/>
        <v>11538.8352</v>
      </c>
      <c r="I75" s="61">
        <f t="shared" si="1"/>
        <v>456.69650491858414</v>
      </c>
      <c r="J75" s="61">
        <f t="shared" si="2"/>
        <v>2.3380006188204852E-5</v>
      </c>
      <c r="K75" s="61"/>
      <c r="L75" s="61">
        <f t="shared" si="3"/>
        <v>203.24793249361383</v>
      </c>
      <c r="M75" s="61"/>
      <c r="N75" s="61"/>
    </row>
    <row r="76" spans="1:14" x14ac:dyDescent="0.25">
      <c r="A76">
        <v>29.01</v>
      </c>
      <c r="B76">
        <v>446.22</v>
      </c>
      <c r="E76">
        <f t="shared" si="4"/>
        <v>841.58010000000013</v>
      </c>
      <c r="F76">
        <f t="shared" si="0"/>
        <v>12944.842200000001</v>
      </c>
      <c r="I76" s="61">
        <f t="shared" si="1"/>
        <v>456.69447241434801</v>
      </c>
      <c r="J76" s="61">
        <f t="shared" si="2"/>
        <v>4.7166564723527058E-5</v>
      </c>
      <c r="K76" s="61"/>
      <c r="L76" s="61">
        <f t="shared" si="3"/>
        <v>109.71457235893692</v>
      </c>
      <c r="M76" s="61"/>
      <c r="N76" s="61"/>
    </row>
    <row r="77" spans="1:14" x14ac:dyDescent="0.25">
      <c r="A77">
        <v>12.18</v>
      </c>
      <c r="B77">
        <v>471.49</v>
      </c>
      <c r="E77">
        <f t="shared" si="4"/>
        <v>148.35239999999999</v>
      </c>
      <c r="F77">
        <f t="shared" si="0"/>
        <v>5742.7482</v>
      </c>
      <c r="I77" s="61">
        <f t="shared" si="1"/>
        <v>456.70614717417544</v>
      </c>
      <c r="J77" s="61">
        <f t="shared" si="2"/>
        <v>2.3106941255992536E-5</v>
      </c>
      <c r="K77" s="61"/>
      <c r="L77" s="61">
        <f t="shared" si="3"/>
        <v>218.56230437564105</v>
      </c>
      <c r="M77" s="61"/>
      <c r="N77" s="61"/>
    </row>
    <row r="78" spans="1:14" x14ac:dyDescent="0.25">
      <c r="A78">
        <v>13.76</v>
      </c>
      <c r="B78">
        <v>463.5</v>
      </c>
      <c r="E78">
        <f t="shared" si="4"/>
        <v>189.33759999999998</v>
      </c>
      <c r="F78">
        <f t="shared" si="0"/>
        <v>6377.76</v>
      </c>
      <c r="I78" s="61">
        <f t="shared" si="1"/>
        <v>456.70505114800028</v>
      </c>
      <c r="J78" s="61">
        <f t="shared" si="2"/>
        <v>1.3771089152424274E-5</v>
      </c>
      <c r="K78" s="61"/>
      <c r="L78" s="61">
        <f t="shared" si="3"/>
        <v>46.171329901292317</v>
      </c>
      <c r="M78" s="61"/>
      <c r="N78" s="61"/>
    </row>
    <row r="79" spans="1:14" x14ac:dyDescent="0.25">
      <c r="A79">
        <v>25.5</v>
      </c>
      <c r="B79">
        <v>440.01</v>
      </c>
      <c r="E79">
        <f t="shared" si="4"/>
        <v>650.25</v>
      </c>
      <c r="F79">
        <f t="shared" si="0"/>
        <v>11220.254999999999</v>
      </c>
      <c r="I79" s="61">
        <f t="shared" si="1"/>
        <v>456.69690725730663</v>
      </c>
      <c r="J79" s="61">
        <f t="shared" si="2"/>
        <v>1.9651035762943722E-5</v>
      </c>
      <c r="K79" s="61"/>
      <c r="L79" s="61">
        <f t="shared" si="3"/>
        <v>278.45287381395315</v>
      </c>
      <c r="M79" s="61"/>
      <c r="N79" s="61"/>
    </row>
    <row r="80" spans="1:14" x14ac:dyDescent="0.25">
      <c r="A80">
        <v>28.26</v>
      </c>
      <c r="B80">
        <v>441.03</v>
      </c>
      <c r="E80">
        <f t="shared" si="4"/>
        <v>798.62760000000014</v>
      </c>
      <c r="F80">
        <f t="shared" ref="F80:F111" si="5">A80*B80</f>
        <v>12463.507799999999</v>
      </c>
      <c r="I80" s="61">
        <f t="shared" ref="I80:I111" si="6">$P$14*A80+$P$15</f>
        <v>456.69499267993746</v>
      </c>
      <c r="J80" s="61">
        <f t="shared" ref="J80:J111" si="7">(I80-$H$15)^2</f>
        <v>4.0291089470037699E-5</v>
      </c>
      <c r="K80" s="61"/>
      <c r="L80" s="61">
        <f t="shared" ref="L80:L111" si="8">(B80-I80)^2</f>
        <v>245.39199566249496</v>
      </c>
      <c r="M80" s="61"/>
      <c r="N80" s="61"/>
    </row>
    <row r="81" spans="1:14" x14ac:dyDescent="0.25">
      <c r="A81">
        <v>21.39</v>
      </c>
      <c r="B81">
        <v>452.68</v>
      </c>
      <c r="E81">
        <f t="shared" ref="E81:E111" si="9">A81^2</f>
        <v>457.53210000000001</v>
      </c>
      <c r="F81">
        <f t="shared" si="5"/>
        <v>9682.8252000000011</v>
      </c>
      <c r="I81" s="61">
        <f t="shared" si="6"/>
        <v>456.69975831273689</v>
      </c>
      <c r="J81" s="61">
        <f t="shared" si="7"/>
        <v>2.502386882864952E-6</v>
      </c>
      <c r="K81" s="61"/>
      <c r="L81" s="61">
        <f t="shared" si="8"/>
        <v>16.158456892817274</v>
      </c>
      <c r="M81" s="61"/>
      <c r="N81" s="61"/>
    </row>
    <row r="82" spans="1:14" x14ac:dyDescent="0.25">
      <c r="A82">
        <v>7.26</v>
      </c>
      <c r="B82">
        <v>474.91</v>
      </c>
      <c r="E82">
        <f t="shared" si="9"/>
        <v>52.707599999999999</v>
      </c>
      <c r="F82">
        <f t="shared" si="5"/>
        <v>3447.8465999999999</v>
      </c>
      <c r="I82" s="61">
        <f t="shared" si="6"/>
        <v>456.70956011644228</v>
      </c>
      <c r="J82" s="61">
        <f t="shared" si="7"/>
        <v>6.7566924628884346E-5</v>
      </c>
      <c r="K82" s="61"/>
      <c r="L82" s="61">
        <f t="shared" si="8"/>
        <v>331.25601195499962</v>
      </c>
      <c r="M82" s="61"/>
      <c r="N82" s="61"/>
    </row>
    <row r="83" spans="1:14" x14ac:dyDescent="0.25">
      <c r="A83">
        <v>10.54</v>
      </c>
      <c r="B83">
        <v>478.77</v>
      </c>
      <c r="E83">
        <f t="shared" si="9"/>
        <v>111.09159999999999</v>
      </c>
      <c r="F83">
        <f t="shared" si="5"/>
        <v>5046.2357999999995</v>
      </c>
      <c r="I83" s="61">
        <f t="shared" si="6"/>
        <v>456.70728482159774</v>
      </c>
      <c r="J83" s="61">
        <f t="shared" si="7"/>
        <v>3.5338452399016387E-5</v>
      </c>
      <c r="K83" s="61"/>
      <c r="L83" s="61">
        <f t="shared" si="8"/>
        <v>486.76340104330075</v>
      </c>
      <c r="M83" s="61"/>
      <c r="N83" s="61"/>
    </row>
    <row r="84" spans="1:14" x14ac:dyDescent="0.25">
      <c r="A84">
        <v>27.71</v>
      </c>
      <c r="B84">
        <v>434.2</v>
      </c>
      <c r="E84">
        <f t="shared" si="9"/>
        <v>767.84410000000003</v>
      </c>
      <c r="F84">
        <f t="shared" si="5"/>
        <v>12031.682000000001</v>
      </c>
      <c r="I84" s="61">
        <f t="shared" si="6"/>
        <v>456.69537420803636</v>
      </c>
      <c r="J84" s="61">
        <f t="shared" si="7"/>
        <v>3.5593133916008277E-5</v>
      </c>
      <c r="K84" s="61"/>
      <c r="L84" s="61">
        <f t="shared" si="8"/>
        <v>506.04186075958779</v>
      </c>
      <c r="M84" s="61"/>
      <c r="N84" s="61"/>
    </row>
    <row r="85" spans="1:14" x14ac:dyDescent="0.25">
      <c r="A85">
        <v>23.11</v>
      </c>
      <c r="B85">
        <v>437.91</v>
      </c>
      <c r="E85">
        <f t="shared" si="9"/>
        <v>534.07209999999998</v>
      </c>
      <c r="F85">
        <f t="shared" si="5"/>
        <v>10120.1001</v>
      </c>
      <c r="I85" s="61">
        <f t="shared" si="6"/>
        <v>456.69856517031837</v>
      </c>
      <c r="J85" s="61">
        <f t="shared" si="7"/>
        <v>7.7008240640225583E-6</v>
      </c>
      <c r="K85" s="61"/>
      <c r="L85" s="61">
        <f t="shared" si="8"/>
        <v>353.0101811592998</v>
      </c>
      <c r="M85" s="61"/>
      <c r="N85" s="61"/>
    </row>
    <row r="86" spans="1:14" x14ac:dyDescent="0.25">
      <c r="A86">
        <v>7.51</v>
      </c>
      <c r="B86">
        <v>477.61</v>
      </c>
      <c r="E86">
        <f t="shared" si="9"/>
        <v>56.400099999999995</v>
      </c>
      <c r="F86">
        <f t="shared" si="5"/>
        <v>3586.8510999999999</v>
      </c>
      <c r="I86" s="61">
        <f t="shared" si="6"/>
        <v>456.70938669457911</v>
      </c>
      <c r="J86" s="61">
        <f t="shared" si="7"/>
        <v>6.474597546793221E-5</v>
      </c>
      <c r="K86" s="61"/>
      <c r="L86" s="61">
        <f t="shared" si="8"/>
        <v>436.83563654273735</v>
      </c>
      <c r="M86" s="61"/>
      <c r="N86" s="61"/>
    </row>
    <row r="87" spans="1:14" x14ac:dyDescent="0.25">
      <c r="A87">
        <v>26.46</v>
      </c>
      <c r="B87">
        <v>431.65</v>
      </c>
      <c r="E87">
        <f t="shared" si="9"/>
        <v>700.13160000000005</v>
      </c>
      <c r="F87">
        <f t="shared" si="5"/>
        <v>11421.458999999999</v>
      </c>
      <c r="I87" s="61">
        <f t="shared" si="6"/>
        <v>456.69624131735213</v>
      </c>
      <c r="J87" s="61">
        <f t="shared" si="7"/>
        <v>2.5998667335389728E-5</v>
      </c>
      <c r="K87" s="61"/>
      <c r="L87" s="61">
        <f t="shared" si="8"/>
        <v>627.31420412703824</v>
      </c>
      <c r="M87" s="61"/>
      <c r="N87" s="61"/>
    </row>
    <row r="88" spans="1:14" x14ac:dyDescent="0.25">
      <c r="A88">
        <v>29.34</v>
      </c>
      <c r="B88">
        <v>430.57</v>
      </c>
      <c r="E88">
        <f t="shared" si="9"/>
        <v>860.8356</v>
      </c>
      <c r="F88">
        <f t="shared" si="5"/>
        <v>12632.9238</v>
      </c>
      <c r="I88" s="61">
        <f t="shared" si="6"/>
        <v>456.69424349748863</v>
      </c>
      <c r="J88" s="61">
        <f t="shared" si="7"/>
        <v>5.0363274328744974E-5</v>
      </c>
      <c r="K88" s="61"/>
      <c r="L88" s="61">
        <f t="shared" si="8"/>
        <v>682.47609831607724</v>
      </c>
      <c r="M88" s="61"/>
      <c r="N88" s="61"/>
    </row>
    <row r="89" spans="1:14" x14ac:dyDescent="0.25">
      <c r="A89">
        <v>10.32</v>
      </c>
      <c r="B89">
        <v>481.09</v>
      </c>
      <c r="E89">
        <f t="shared" si="9"/>
        <v>106.50240000000001</v>
      </c>
      <c r="F89">
        <f t="shared" si="5"/>
        <v>4964.8487999999998</v>
      </c>
      <c r="I89" s="61">
        <f t="shared" si="6"/>
        <v>456.70743743283731</v>
      </c>
      <c r="J89" s="61">
        <f t="shared" si="7"/>
        <v>3.7176172843117143E-5</v>
      </c>
      <c r="K89" s="61"/>
      <c r="L89" s="61">
        <f t="shared" si="8"/>
        <v>594.50935734160203</v>
      </c>
      <c r="M89" s="61"/>
      <c r="N89" s="61"/>
    </row>
    <row r="90" spans="1:14" x14ac:dyDescent="0.25">
      <c r="A90">
        <v>22.74</v>
      </c>
      <c r="B90">
        <v>445.56</v>
      </c>
      <c r="E90">
        <f t="shared" si="9"/>
        <v>517.10759999999993</v>
      </c>
      <c r="F90">
        <f t="shared" si="5"/>
        <v>10132.034399999999</v>
      </c>
      <c r="I90" s="61">
        <f t="shared" si="6"/>
        <v>456.69882183467587</v>
      </c>
      <c r="J90" s="61">
        <f t="shared" si="7"/>
        <v>6.342195060697105E-6</v>
      </c>
      <c r="K90" s="61"/>
      <c r="L90" s="61">
        <f t="shared" si="8"/>
        <v>124.07335186465183</v>
      </c>
      <c r="M90" s="61"/>
      <c r="N90" s="61"/>
    </row>
    <row r="91" spans="1:14" x14ac:dyDescent="0.25">
      <c r="A91">
        <v>13.48</v>
      </c>
      <c r="B91">
        <v>475.74</v>
      </c>
      <c r="E91">
        <f t="shared" si="9"/>
        <v>181.71040000000002</v>
      </c>
      <c r="F91">
        <f t="shared" si="5"/>
        <v>6412.9752000000008</v>
      </c>
      <c r="I91" s="61">
        <f t="shared" si="6"/>
        <v>456.70524538048704</v>
      </c>
      <c r="J91" s="61">
        <f t="shared" si="7"/>
        <v>1.5250386325158034E-5</v>
      </c>
      <c r="K91" s="61"/>
      <c r="L91" s="61">
        <f t="shared" si="8"/>
        <v>362.32188342507021</v>
      </c>
      <c r="M91" s="61"/>
      <c r="N91" s="61"/>
    </row>
    <row r="92" spans="1:14" x14ac:dyDescent="0.25">
      <c r="A92">
        <v>25.52</v>
      </c>
      <c r="B92">
        <v>435.12</v>
      </c>
      <c r="E92">
        <f t="shared" si="9"/>
        <v>651.2704</v>
      </c>
      <c r="F92">
        <f t="shared" si="5"/>
        <v>11104.2624</v>
      </c>
      <c r="I92" s="61">
        <f t="shared" si="6"/>
        <v>456.69689338355761</v>
      </c>
      <c r="J92" s="61">
        <f t="shared" si="7"/>
        <v>1.9774231484238205E-5</v>
      </c>
      <c r="K92" s="61"/>
      <c r="L92" s="61">
        <f t="shared" si="8"/>
        <v>465.56232808541188</v>
      </c>
      <c r="M92" s="61"/>
      <c r="N92" s="61"/>
    </row>
    <row r="93" spans="1:14" x14ac:dyDescent="0.25">
      <c r="A93">
        <v>21.58</v>
      </c>
      <c r="B93">
        <v>446.15</v>
      </c>
      <c r="E93">
        <f t="shared" si="9"/>
        <v>465.69639999999993</v>
      </c>
      <c r="F93">
        <f t="shared" si="5"/>
        <v>9627.9169999999995</v>
      </c>
      <c r="I93" s="61">
        <f t="shared" si="6"/>
        <v>456.69962651212091</v>
      </c>
      <c r="J93" s="61">
        <f t="shared" si="7"/>
        <v>2.9367473471125513E-6</v>
      </c>
      <c r="K93" s="61"/>
      <c r="L93" s="61">
        <f t="shared" si="8"/>
        <v>111.29461954524498</v>
      </c>
      <c r="M93" s="61"/>
      <c r="N93" s="61"/>
    </row>
    <row r="94" spans="1:14" x14ac:dyDescent="0.25">
      <c r="A94">
        <v>27.66</v>
      </c>
      <c r="B94">
        <v>436.64</v>
      </c>
      <c r="E94">
        <f t="shared" si="9"/>
        <v>765.07560000000001</v>
      </c>
      <c r="F94">
        <f t="shared" si="5"/>
        <v>12077.4624</v>
      </c>
      <c r="I94" s="61">
        <f t="shared" si="6"/>
        <v>456.69540889240903</v>
      </c>
      <c r="J94" s="61">
        <f t="shared" si="7"/>
        <v>3.5180483115301614E-5</v>
      </c>
      <c r="K94" s="61"/>
      <c r="L94" s="61">
        <f t="shared" si="8"/>
        <v>402.2194258417199</v>
      </c>
      <c r="M94" s="61"/>
      <c r="N94" s="61"/>
    </row>
    <row r="95" spans="1:14" x14ac:dyDescent="0.25">
      <c r="A95">
        <v>26.96</v>
      </c>
      <c r="B95">
        <v>436.69</v>
      </c>
      <c r="E95">
        <f t="shared" si="9"/>
        <v>726.84160000000008</v>
      </c>
      <c r="F95">
        <f t="shared" si="5"/>
        <v>11773.162400000001</v>
      </c>
      <c r="I95" s="61">
        <f t="shared" si="6"/>
        <v>456.69589447362586</v>
      </c>
      <c r="J95" s="61">
        <f t="shared" si="7"/>
        <v>2.9656003111543831E-5</v>
      </c>
      <c r="K95" s="61"/>
      <c r="L95" s="61">
        <f t="shared" si="8"/>
        <v>400.23581368985367</v>
      </c>
      <c r="M95" s="61"/>
      <c r="N95" s="61"/>
    </row>
    <row r="96" spans="1:14" x14ac:dyDescent="0.25">
      <c r="A96">
        <v>12.29</v>
      </c>
      <c r="B96">
        <v>468.75</v>
      </c>
      <c r="E96">
        <f t="shared" si="9"/>
        <v>151.04409999999999</v>
      </c>
      <c r="F96">
        <f t="shared" si="5"/>
        <v>5760.9375</v>
      </c>
      <c r="I96" s="61">
        <f t="shared" si="6"/>
        <v>456.70607086855563</v>
      </c>
      <c r="J96" s="61">
        <f t="shared" si="7"/>
        <v>2.2379166459817149E-5</v>
      </c>
      <c r="K96" s="61"/>
      <c r="L96" s="61">
        <f t="shared" si="8"/>
        <v>145.05622892325439</v>
      </c>
      <c r="M96" s="61"/>
      <c r="N96" s="61"/>
    </row>
    <row r="97" spans="1:14" x14ac:dyDescent="0.25">
      <c r="A97">
        <v>15.86</v>
      </c>
      <c r="B97">
        <v>466.6</v>
      </c>
      <c r="E97">
        <f t="shared" si="9"/>
        <v>251.53959999999998</v>
      </c>
      <c r="F97">
        <f t="shared" si="5"/>
        <v>7400.2759999999998</v>
      </c>
      <c r="I97" s="61">
        <f t="shared" si="6"/>
        <v>456.70359440434981</v>
      </c>
      <c r="J97" s="61">
        <f t="shared" si="7"/>
        <v>5.0814093638446591E-6</v>
      </c>
      <c r="K97" s="61"/>
      <c r="L97" s="61">
        <f t="shared" si="8"/>
        <v>97.938843713616748</v>
      </c>
      <c r="M97" s="61"/>
      <c r="N97" s="61"/>
    </row>
    <row r="98" spans="1:14" x14ac:dyDescent="0.25">
      <c r="A98">
        <v>13.87</v>
      </c>
      <c r="B98">
        <v>465.48</v>
      </c>
      <c r="E98">
        <f t="shared" si="9"/>
        <v>192.37689999999998</v>
      </c>
      <c r="F98">
        <f t="shared" si="5"/>
        <v>6456.2075999999997</v>
      </c>
      <c r="I98" s="61">
        <f t="shared" si="6"/>
        <v>456.70497484238052</v>
      </c>
      <c r="J98" s="61">
        <f t="shared" si="7"/>
        <v>1.3210580269918018E-5</v>
      </c>
      <c r="K98" s="61"/>
      <c r="L98" s="61">
        <f t="shared" si="8"/>
        <v>77.001066516855047</v>
      </c>
      <c r="M98" s="61"/>
      <c r="N98" s="61"/>
    </row>
    <row r="99" spans="1:14" x14ac:dyDescent="0.25">
      <c r="A99">
        <v>24.09</v>
      </c>
      <c r="B99">
        <v>441.34</v>
      </c>
      <c r="E99">
        <f t="shared" si="9"/>
        <v>580.32809999999995</v>
      </c>
      <c r="F99">
        <f t="shared" si="5"/>
        <v>10631.880599999999</v>
      </c>
      <c r="I99" s="61">
        <f t="shared" si="6"/>
        <v>456.69788535661485</v>
      </c>
      <c r="J99" s="61">
        <f t="shared" si="7"/>
        <v>1.1935985556077543E-5</v>
      </c>
      <c r="K99" s="61"/>
      <c r="L99" s="61">
        <f t="shared" si="8"/>
        <v>235.86464262692553</v>
      </c>
      <c r="M99" s="61"/>
      <c r="N99" s="61"/>
    </row>
    <row r="100" spans="1:14" x14ac:dyDescent="0.25">
      <c r="A100">
        <v>20.45</v>
      </c>
      <c r="B100">
        <v>441.83</v>
      </c>
      <c r="E100">
        <f t="shared" si="9"/>
        <v>418.20249999999999</v>
      </c>
      <c r="F100">
        <f t="shared" si="5"/>
        <v>9035.423499999999</v>
      </c>
      <c r="I100" s="61">
        <f t="shared" si="6"/>
        <v>456.70041037894237</v>
      </c>
      <c r="J100" s="61">
        <f t="shared" si="7"/>
        <v>8.6457870213973998E-7</v>
      </c>
      <c r="K100" s="61"/>
      <c r="L100" s="61">
        <f t="shared" si="8"/>
        <v>221.1291048381573</v>
      </c>
      <c r="M100" s="61"/>
      <c r="N100" s="61"/>
    </row>
    <row r="101" spans="1:14" x14ac:dyDescent="0.25">
      <c r="A101">
        <v>15.07</v>
      </c>
      <c r="B101">
        <v>464.7</v>
      </c>
      <c r="E101">
        <f t="shared" si="9"/>
        <v>227.10490000000001</v>
      </c>
      <c r="F101">
        <f t="shared" si="5"/>
        <v>7003.0289999999995</v>
      </c>
      <c r="I101" s="61">
        <f t="shared" si="6"/>
        <v>456.70414241743737</v>
      </c>
      <c r="J101" s="61">
        <f t="shared" si="7"/>
        <v>7.8523878998988339E-6</v>
      </c>
      <c r="K101" s="61"/>
      <c r="L101" s="61">
        <f t="shared" si="8"/>
        <v>63.933738480624164</v>
      </c>
      <c r="M101" s="61"/>
      <c r="N101" s="61"/>
    </row>
    <row r="102" spans="1:14" x14ac:dyDescent="0.25">
      <c r="A102">
        <v>32.72</v>
      </c>
      <c r="B102">
        <v>437.99</v>
      </c>
      <c r="E102">
        <f t="shared" si="9"/>
        <v>1070.5983999999999</v>
      </c>
      <c r="F102">
        <f t="shared" si="5"/>
        <v>14331.032799999999</v>
      </c>
      <c r="I102" s="61">
        <f t="shared" si="6"/>
        <v>456.69189883389879</v>
      </c>
      <c r="J102" s="61">
        <f t="shared" si="7"/>
        <v>8.913951065690431E-5</v>
      </c>
      <c r="K102" s="61"/>
      <c r="L102" s="61">
        <f t="shared" si="8"/>
        <v>349.76101999338459</v>
      </c>
      <c r="M102" s="61"/>
      <c r="N102" s="61"/>
    </row>
    <row r="103" spans="1:14" x14ac:dyDescent="0.25">
      <c r="A103">
        <v>18.23</v>
      </c>
      <c r="B103">
        <v>459.12</v>
      </c>
      <c r="E103">
        <f t="shared" si="9"/>
        <v>332.3329</v>
      </c>
      <c r="F103">
        <f t="shared" si="5"/>
        <v>8369.7576000000008</v>
      </c>
      <c r="I103" s="61">
        <f t="shared" si="6"/>
        <v>456.70195036508716</v>
      </c>
      <c r="J103" s="61">
        <f t="shared" si="7"/>
        <v>3.7229388522920756E-7</v>
      </c>
      <c r="K103" s="61"/>
      <c r="L103" s="61">
        <f t="shared" si="8"/>
        <v>5.8469640369021549</v>
      </c>
      <c r="M103" s="61"/>
      <c r="N103" s="61"/>
    </row>
    <row r="104" spans="1:14" x14ac:dyDescent="0.25">
      <c r="A104">
        <v>35.56</v>
      </c>
      <c r="B104">
        <v>429.69</v>
      </c>
      <c r="E104">
        <f t="shared" si="9"/>
        <v>1264.5136000000002</v>
      </c>
      <c r="F104">
        <f t="shared" si="5"/>
        <v>15279.776400000001</v>
      </c>
      <c r="I104" s="61">
        <f t="shared" si="6"/>
        <v>456.68992876153339</v>
      </c>
      <c r="J104" s="61">
        <f t="shared" si="7"/>
        <v>1.3022106904885084E-4</v>
      </c>
      <c r="K104" s="61"/>
      <c r="L104" s="61">
        <f t="shared" si="8"/>
        <v>728.9961531278783</v>
      </c>
      <c r="M104" s="61"/>
      <c r="N104" s="61"/>
    </row>
    <row r="105" spans="1:14" x14ac:dyDescent="0.25">
      <c r="A105">
        <v>18.36</v>
      </c>
      <c r="B105">
        <v>459.8</v>
      </c>
      <c r="E105">
        <f t="shared" si="9"/>
        <v>337.08959999999996</v>
      </c>
      <c r="F105">
        <f t="shared" si="5"/>
        <v>8441.9279999999999</v>
      </c>
      <c r="I105" s="61">
        <f t="shared" si="6"/>
        <v>456.70186018571832</v>
      </c>
      <c r="J105" s="61">
        <f t="shared" si="7"/>
        <v>2.7037871451281054E-7</v>
      </c>
      <c r="K105" s="61"/>
      <c r="L105" s="61">
        <f t="shared" si="8"/>
        <v>9.5984703088374115</v>
      </c>
      <c r="M105" s="61"/>
      <c r="N105" s="61"/>
    </row>
    <row r="106" spans="1:14" x14ac:dyDescent="0.25">
      <c r="A106">
        <v>26.35</v>
      </c>
      <c r="B106">
        <v>433.63</v>
      </c>
      <c r="E106">
        <f t="shared" si="9"/>
        <v>694.3225000000001</v>
      </c>
      <c r="F106">
        <f t="shared" si="5"/>
        <v>11426.1505</v>
      </c>
      <c r="I106" s="61">
        <f t="shared" si="6"/>
        <v>456.69631762297195</v>
      </c>
      <c r="J106" s="61">
        <f t="shared" si="7"/>
        <v>2.522634213741546E-5</v>
      </c>
      <c r="K106" s="61"/>
      <c r="L106" s="61">
        <f t="shared" si="8"/>
        <v>532.05500868382637</v>
      </c>
      <c r="M106" s="61"/>
      <c r="N106" s="61"/>
    </row>
    <row r="107" spans="1:14" x14ac:dyDescent="0.25">
      <c r="A107">
        <v>25.92</v>
      </c>
      <c r="B107">
        <v>442.84</v>
      </c>
      <c r="E107">
        <f t="shared" si="9"/>
        <v>671.84640000000013</v>
      </c>
      <c r="F107">
        <f t="shared" si="5"/>
        <v>11478.4128</v>
      </c>
      <c r="I107" s="61">
        <f t="shared" si="6"/>
        <v>456.69661590857658</v>
      </c>
      <c r="J107" s="61">
        <f t="shared" si="7"/>
        <v>2.2318987898017658E-5</v>
      </c>
      <c r="K107" s="61"/>
      <c r="L107" s="61">
        <f t="shared" si="8"/>
        <v>192.00580443781811</v>
      </c>
      <c r="M107" s="61"/>
      <c r="N107" s="61"/>
    </row>
    <row r="108" spans="1:14" x14ac:dyDescent="0.25">
      <c r="A108">
        <v>8.01</v>
      </c>
      <c r="B108">
        <v>485.13</v>
      </c>
      <c r="E108">
        <f t="shared" si="9"/>
        <v>64.1601</v>
      </c>
      <c r="F108">
        <f t="shared" si="5"/>
        <v>3885.8912999999998</v>
      </c>
      <c r="I108" s="61">
        <f t="shared" si="6"/>
        <v>456.70903985085283</v>
      </c>
      <c r="J108" s="61">
        <f t="shared" si="7"/>
        <v>5.9284528002648822E-5</v>
      </c>
      <c r="K108" s="61"/>
      <c r="L108" s="61">
        <f t="shared" si="8"/>
        <v>807.75097579941109</v>
      </c>
      <c r="M108" s="61"/>
      <c r="N108" s="61"/>
    </row>
    <row r="109" spans="1:14" x14ac:dyDescent="0.25">
      <c r="A109">
        <v>19.63</v>
      </c>
      <c r="B109">
        <v>459.12</v>
      </c>
      <c r="E109">
        <f t="shared" si="9"/>
        <v>385.33689999999996</v>
      </c>
      <c r="F109">
        <f t="shared" si="5"/>
        <v>9012.525599999999</v>
      </c>
      <c r="I109" s="61">
        <f t="shared" si="6"/>
        <v>456.70097920265346</v>
      </c>
      <c r="J109" s="61">
        <f t="shared" si="7"/>
        <v>1.3032355017248477E-7</v>
      </c>
      <c r="K109" s="61"/>
      <c r="L109" s="61">
        <f t="shared" si="8"/>
        <v>5.8516616179951271</v>
      </c>
      <c r="M109" s="61"/>
      <c r="N109" s="61"/>
    </row>
    <row r="110" spans="1:14" x14ac:dyDescent="0.25">
      <c r="A110">
        <v>20.02</v>
      </c>
      <c r="B110">
        <v>445.31</v>
      </c>
      <c r="E110">
        <f t="shared" si="9"/>
        <v>400.80039999999997</v>
      </c>
      <c r="F110">
        <f t="shared" si="5"/>
        <v>8915.1062000000002</v>
      </c>
      <c r="I110" s="61">
        <f t="shared" si="6"/>
        <v>456.70070866454694</v>
      </c>
      <c r="J110" s="61">
        <f t="shared" si="7"/>
        <v>3.9884484128223204E-7</v>
      </c>
      <c r="K110" s="61"/>
      <c r="L110" s="61">
        <f t="shared" si="8"/>
        <v>129.74824388058462</v>
      </c>
      <c r="M110" s="61"/>
      <c r="N110" s="61"/>
    </row>
    <row r="111" spans="1:14" x14ac:dyDescent="0.25">
      <c r="A111">
        <v>10.08</v>
      </c>
      <c r="B111">
        <v>480.8</v>
      </c>
      <c r="E111">
        <f t="shared" si="9"/>
        <v>101.60640000000001</v>
      </c>
      <c r="F111">
        <f t="shared" si="5"/>
        <v>4846.4639999999999</v>
      </c>
      <c r="I111" s="61">
        <f t="shared" si="6"/>
        <v>456.70760391782591</v>
      </c>
      <c r="J111" s="61">
        <f t="shared" si="7"/>
        <v>3.9234083513732866E-5</v>
      </c>
      <c r="K111" s="61"/>
      <c r="L111" s="61">
        <f t="shared" si="8"/>
        <v>580.44354898035817</v>
      </c>
      <c r="M111" s="61"/>
      <c r="N111" s="61"/>
    </row>
    <row r="112" spans="1:14" x14ac:dyDescent="0.25">
      <c r="E112">
        <f>AVERAGE(E15:E111)</f>
        <v>423.13187319587621</v>
      </c>
      <c r="F112">
        <f>AVERAGE(F15:F111)</f>
        <v>8603.4293938144365</v>
      </c>
    </row>
  </sheetData>
  <mergeCells count="23">
    <mergeCell ref="O16:P17"/>
    <mergeCell ref="A2:B2"/>
    <mergeCell ref="C2:E2"/>
    <mergeCell ref="G2:H2"/>
    <mergeCell ref="O2:Q2"/>
    <mergeCell ref="R2:T2"/>
    <mergeCell ref="A3:B3"/>
    <mergeCell ref="C3:E3"/>
    <mergeCell ref="G3:H3"/>
    <mergeCell ref="O3:Q3"/>
    <mergeCell ref="R3:T3"/>
    <mergeCell ref="R5:T5"/>
    <mergeCell ref="A4:B4"/>
    <mergeCell ref="C4:E4"/>
    <mergeCell ref="G4:H4"/>
    <mergeCell ref="O4:Q4"/>
    <mergeCell ref="R4:T4"/>
    <mergeCell ref="A11:B11"/>
    <mergeCell ref="C11:Q11"/>
    <mergeCell ref="A5:B5"/>
    <mergeCell ref="C5:E5"/>
    <mergeCell ref="G5:H5"/>
    <mergeCell ref="O5:Q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"/>
  <sheetViews>
    <sheetView topLeftCell="A13" workbookViewId="0">
      <selection activeCell="A34" sqref="A34:K35"/>
    </sheetView>
  </sheetViews>
  <sheetFormatPr defaultRowHeight="13.2" x14ac:dyDescent="0.25"/>
  <sheetData>
    <row r="1" spans="1:11" ht="16.5" customHeight="1" x14ac:dyDescent="0.25">
      <c r="A1" s="44" t="s">
        <v>15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x14ac:dyDescent="0.25">
      <c r="A2" s="47" t="s">
        <v>10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x14ac:dyDescent="0.25">
      <c r="A3" s="14" t="s">
        <v>9</v>
      </c>
      <c r="B3" s="57" t="s">
        <v>55</v>
      </c>
      <c r="C3" s="57"/>
      <c r="D3" s="57"/>
      <c r="E3" s="57"/>
      <c r="F3" s="57"/>
      <c r="G3" s="57"/>
      <c r="H3" s="57"/>
      <c r="I3" s="57"/>
      <c r="J3" s="57"/>
      <c r="K3" s="57"/>
    </row>
    <row r="4" spans="1:11" x14ac:dyDescent="0.25">
      <c r="A4" s="14" t="s">
        <v>6</v>
      </c>
      <c r="B4" s="58" t="s">
        <v>51</v>
      </c>
      <c r="C4" s="58"/>
      <c r="D4" s="58"/>
      <c r="E4" s="58"/>
      <c r="F4" s="58"/>
      <c r="G4" s="58"/>
      <c r="H4" s="58"/>
      <c r="I4" s="58"/>
      <c r="J4" s="58"/>
      <c r="K4" s="58"/>
    </row>
    <row r="5" spans="1:11" x14ac:dyDescent="0.25">
      <c r="A5" s="14" t="s">
        <v>7</v>
      </c>
      <c r="B5" s="58" t="s">
        <v>52</v>
      </c>
      <c r="C5" s="58"/>
      <c r="D5" s="58"/>
      <c r="E5" s="58"/>
      <c r="F5" s="58"/>
      <c r="G5" s="58"/>
      <c r="H5" s="58"/>
      <c r="I5" s="58"/>
      <c r="J5" s="58"/>
      <c r="K5" s="58"/>
    </row>
    <row r="6" spans="1:11" x14ac:dyDescent="0.25">
      <c r="A6" s="14" t="s">
        <v>8</v>
      </c>
      <c r="B6" s="58" t="s">
        <v>53</v>
      </c>
      <c r="C6" s="58"/>
      <c r="D6" s="58"/>
      <c r="E6" s="58"/>
      <c r="F6" s="58"/>
      <c r="G6" s="58"/>
      <c r="H6" s="58"/>
      <c r="I6" s="58"/>
      <c r="J6" s="58"/>
      <c r="K6" s="58"/>
    </row>
    <row r="7" spans="1:11" x14ac:dyDescent="0.25">
      <c r="A7" s="14"/>
      <c r="B7" s="16"/>
    </row>
    <row r="9" spans="1:11" x14ac:dyDescent="0.25">
      <c r="A9" s="45" t="s">
        <v>11</v>
      </c>
      <c r="B9" s="45"/>
      <c r="C9" s="45"/>
      <c r="D9" s="45"/>
      <c r="E9" s="45"/>
      <c r="F9" s="45"/>
      <c r="G9" s="45"/>
      <c r="H9" s="45"/>
      <c r="I9" s="45"/>
      <c r="J9" s="45"/>
      <c r="K9" s="45"/>
    </row>
    <row r="10" spans="1:11" x14ac:dyDescent="0.25">
      <c r="A10" s="42" t="s">
        <v>54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 spans="1:1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3" spans="1:11" x14ac:dyDescent="0.25">
      <c r="A13" s="46" t="s">
        <v>27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</row>
    <row r="14" spans="1:11" ht="27" customHeight="1" x14ac:dyDescent="0.25">
      <c r="A14" s="18" t="s">
        <v>28</v>
      </c>
      <c r="B14" s="41" t="s">
        <v>59</v>
      </c>
      <c r="C14" s="41"/>
      <c r="D14" s="41"/>
      <c r="E14" s="41"/>
      <c r="F14" s="41"/>
      <c r="G14" s="41"/>
      <c r="H14" s="41"/>
      <c r="I14" s="41"/>
      <c r="J14" s="41"/>
      <c r="K14" s="41"/>
    </row>
    <row r="15" spans="1:11" x14ac:dyDescent="0.25">
      <c r="A15" s="15"/>
    </row>
    <row r="17" spans="1:11" x14ac:dyDescent="0.25">
      <c r="A17" s="47" t="s">
        <v>12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</row>
    <row r="18" spans="1:11" x14ac:dyDescent="0.25">
      <c r="A18" s="59" t="s">
        <v>60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</row>
    <row r="19" spans="1:11" x14ac:dyDescent="0.2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</row>
    <row r="21" spans="1:11" x14ac:dyDescent="0.25">
      <c r="A21" s="47" t="s">
        <v>13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</row>
    <row r="22" spans="1:11" x14ac:dyDescent="0.25">
      <c r="A22" s="14" t="s">
        <v>9</v>
      </c>
      <c r="B22" s="57" t="s">
        <v>70</v>
      </c>
      <c r="C22" s="57"/>
      <c r="D22" s="57"/>
      <c r="E22" s="57"/>
      <c r="F22" s="57"/>
      <c r="G22" s="57"/>
      <c r="H22" s="57"/>
      <c r="I22" s="57"/>
      <c r="J22" s="57"/>
      <c r="K22" s="57"/>
    </row>
    <row r="23" spans="1:11" x14ac:dyDescent="0.25">
      <c r="A23" s="14" t="s">
        <v>6</v>
      </c>
      <c r="B23" s="58" t="s">
        <v>71</v>
      </c>
      <c r="C23" s="58"/>
      <c r="D23" s="58"/>
      <c r="E23" s="58"/>
      <c r="F23" s="58"/>
      <c r="G23" s="58"/>
      <c r="H23" s="58"/>
      <c r="I23" s="58"/>
      <c r="J23" s="58"/>
      <c r="K23" s="58"/>
    </row>
    <row r="24" spans="1:11" x14ac:dyDescent="0.25">
      <c r="A24" s="14" t="s">
        <v>7</v>
      </c>
      <c r="B24" s="58" t="s">
        <v>72</v>
      </c>
      <c r="C24" s="58"/>
      <c r="D24" s="58"/>
      <c r="E24" s="58"/>
      <c r="F24" s="58"/>
      <c r="G24" s="58"/>
      <c r="H24" s="58"/>
      <c r="I24" s="58"/>
      <c r="J24" s="58"/>
      <c r="K24" s="58"/>
    </row>
    <row r="25" spans="1:11" x14ac:dyDescent="0.25">
      <c r="A25" s="14" t="s">
        <v>8</v>
      </c>
      <c r="B25" s="58" t="s">
        <v>75</v>
      </c>
      <c r="C25" s="58"/>
      <c r="D25" s="58"/>
      <c r="E25" s="58"/>
      <c r="F25" s="58"/>
      <c r="G25" s="58"/>
      <c r="H25" s="58"/>
      <c r="I25" s="58"/>
      <c r="J25" s="58"/>
      <c r="K25" s="58"/>
    </row>
    <row r="28" spans="1:11" ht="27.75" customHeight="1" x14ac:dyDescent="0.25">
      <c r="A28" s="46" t="s">
        <v>30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</row>
    <row r="29" spans="1:11" ht="27" customHeight="1" x14ac:dyDescent="0.25">
      <c r="A29" s="18" t="s">
        <v>28</v>
      </c>
      <c r="B29" s="41" t="s">
        <v>73</v>
      </c>
      <c r="C29" s="41"/>
      <c r="D29" s="41"/>
      <c r="E29" s="41"/>
      <c r="F29" s="41"/>
      <c r="G29" s="41"/>
      <c r="H29" s="41"/>
      <c r="I29" s="41"/>
      <c r="J29" s="41"/>
      <c r="K29" s="41"/>
    </row>
    <row r="30" spans="1:11" ht="27" customHeight="1" x14ac:dyDescent="0.25">
      <c r="A30" s="18" t="s">
        <v>29</v>
      </c>
      <c r="B30" s="59" t="s">
        <v>74</v>
      </c>
      <c r="C30" s="59"/>
      <c r="D30" s="59"/>
      <c r="E30" s="59"/>
      <c r="F30" s="59"/>
      <c r="G30" s="59"/>
      <c r="H30" s="59"/>
      <c r="I30" s="59"/>
      <c r="J30" s="59"/>
      <c r="K30" s="59"/>
    </row>
    <row r="33" spans="1:11" ht="27.75" customHeight="1" x14ac:dyDescent="0.25">
      <c r="A33" s="48" t="s">
        <v>14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</row>
    <row r="34" spans="1:11" ht="12.75" customHeight="1" x14ac:dyDescent="0.25">
      <c r="A34" s="63" t="s">
        <v>76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</row>
    <row r="35" spans="1:11" x14ac:dyDescent="0.2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</row>
    <row r="36" spans="1:1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</sheetData>
  <mergeCells count="22">
    <mergeCell ref="B23:K23"/>
    <mergeCell ref="B24:K24"/>
    <mergeCell ref="B25:K25"/>
    <mergeCell ref="A34:K35"/>
    <mergeCell ref="B4:K4"/>
    <mergeCell ref="B5:K5"/>
    <mergeCell ref="B6:K6"/>
    <mergeCell ref="A18:K19"/>
    <mergeCell ref="B22:K22"/>
    <mergeCell ref="A10:K10"/>
    <mergeCell ref="A1:K1"/>
    <mergeCell ref="A9:K9"/>
    <mergeCell ref="A13:K13"/>
    <mergeCell ref="A17:K17"/>
    <mergeCell ref="A2:K2"/>
    <mergeCell ref="B14:K14"/>
    <mergeCell ref="A33:K33"/>
    <mergeCell ref="B29:K29"/>
    <mergeCell ref="B30:K30"/>
    <mergeCell ref="A21:K21"/>
    <mergeCell ref="A28:K28"/>
    <mergeCell ref="B3:K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Comment_x0020_on_x0020_changes xmlns="9e1b566f-7f43-45c5-ba82-b8518fc64f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EDDA4CDB7AFA488A64FE2E6DFC4A92" ma:contentTypeVersion="1" ma:contentTypeDescription="Create a new document." ma:contentTypeScope="" ma:versionID="fc4ea9fb80a99ce00338f02c634617f0">
  <xsd:schema xmlns:xsd="http://www.w3.org/2001/XMLSchema" xmlns:p="http://schemas.microsoft.com/office/2006/metadata/properties" xmlns:ns2="9e1b566f-7f43-45c5-ba82-b8518fc64f0f" targetNamespace="http://schemas.microsoft.com/office/2006/metadata/properties" ma:root="true" ma:fieldsID="7619bde28a80739867a2c04a9b5ff5e6" ns2:_="">
    <xsd:import namespace="9e1b566f-7f43-45c5-ba82-b8518fc64f0f"/>
    <xsd:element name="properties">
      <xsd:complexType>
        <xsd:sequence>
          <xsd:element name="documentManagement">
            <xsd:complexType>
              <xsd:all>
                <xsd:element ref="ns2:Comment_x0020_on_x0020_chang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9e1b566f-7f43-45c5-ba82-b8518fc64f0f" elementFormDefault="qualified">
    <xsd:import namespace="http://schemas.microsoft.com/office/2006/documentManagement/types"/>
    <xsd:element name="Comment_x0020_on_x0020_changes" ma:index="8" nillable="true" ma:displayName="Comment on changes" ma:description="Comments on changes" ma:internalName="Comment_x0020_on_x0020_change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467072E-325B-4113-87C1-C581C8B30B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AEEA11-8560-48FD-8A43-F8083A6496F0}">
  <ds:schemaRefs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9e1b566f-7f43-45c5-ba82-b8518fc64f0f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B445F54-AEA9-497E-90AD-F1149CEA5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1b566f-7f43-45c5-ba82-b8518fc64f0f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Two Point</vt:lpstr>
      <vt:lpstr>Least Squares</vt:lpstr>
      <vt:lpstr>Analysis</vt:lpstr>
    </vt:vector>
  </TitlesOfParts>
  <Company>Engineering Computer Network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rmont</dc:creator>
  <cp:lastModifiedBy>Ethan Hotson</cp:lastModifiedBy>
  <cp:lastPrinted>2016-08-09T11:44:13Z</cp:lastPrinted>
  <dcterms:created xsi:type="dcterms:W3CDTF">2006-08-25T21:19:08Z</dcterms:created>
  <dcterms:modified xsi:type="dcterms:W3CDTF">2019-02-06T03:27:49Z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0x010100E7EDDA4CDB7AFA488A64FE2E6DFC4A92</vt:lpwstr>
  </property>
</Properties>
</file>